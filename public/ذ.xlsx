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DG TECH\Desktop\react2\jahani\public\"/>
    </mc:Choice>
  </mc:AlternateContent>
  <bookViews>
    <workbookView xWindow="0" yWindow="0" windowWidth="20490" windowHeight="7620"/>
  </bookViews>
  <sheets>
    <sheet name="Sheet1" sheetId="1" r:id="rId1"/>
    <sheet name="Sheet2" sheetId="3" r:id="rId2"/>
  </sheets>
  <calcPr calcId="162913"/>
</workbook>
</file>

<file path=xl/calcChain.xml><?xml version="1.0" encoding="utf-8"?>
<calcChain xmlns="http://schemas.openxmlformats.org/spreadsheetml/2006/main">
  <c r="E9" i="1" l="1"/>
  <c r="F9" i="1" s="1"/>
  <c r="E8" i="1"/>
  <c r="F8" i="1" s="1"/>
  <c r="E7" i="1"/>
  <c r="F7" i="1" s="1"/>
  <c r="E6" i="1"/>
  <c r="F6" i="1" s="1"/>
  <c r="E5" i="1"/>
  <c r="F5" i="1" s="1"/>
  <c r="E1" i="1" l="1"/>
  <c r="F1" i="1" s="1"/>
  <c r="E223" i="1" l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22" i="1"/>
  <c r="F222" i="1" s="1"/>
  <c r="E221" i="1"/>
  <c r="F221" i="1" s="1"/>
  <c r="E213" i="1"/>
  <c r="F213" i="1" s="1"/>
  <c r="E214" i="1"/>
  <c r="F214" i="1" s="1"/>
  <c r="E212" i="1"/>
  <c r="F212" i="1" s="1"/>
  <c r="E211" i="1"/>
  <c r="F211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184" i="1"/>
  <c r="F184" i="1" s="1"/>
  <c r="E183" i="1"/>
  <c r="F183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1" i="1"/>
  <c r="F141" i="1" s="1"/>
  <c r="E140" i="1"/>
  <c r="F140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26" i="1"/>
  <c r="F126" i="1" s="1"/>
  <c r="E125" i="1"/>
  <c r="F125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07" i="1"/>
  <c r="F107" i="1" s="1"/>
  <c r="E106" i="1"/>
  <c r="F106" i="1" s="1"/>
  <c r="E99" i="1" l="1"/>
  <c r="F99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86" i="1"/>
  <c r="F86" i="1" s="1"/>
  <c r="E85" i="1"/>
  <c r="F85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61" i="1"/>
  <c r="F61" i="1" s="1"/>
  <c r="E60" i="1"/>
  <c r="F60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38" i="1"/>
  <c r="F38" i="1" s="1"/>
  <c r="E155" i="1"/>
  <c r="F155" i="1" s="1"/>
  <c r="E154" i="1"/>
  <c r="F154" i="1" s="1"/>
  <c r="E31" i="1"/>
  <c r="F31" i="1" s="1"/>
  <c r="E30" i="1"/>
  <c r="F30" i="1" s="1"/>
  <c r="E29" i="1"/>
  <c r="F29" i="1" s="1"/>
  <c r="E18" i="1"/>
  <c r="F18" i="1" s="1"/>
  <c r="E19" i="1"/>
  <c r="F19" i="1" s="1"/>
  <c r="E20" i="1"/>
  <c r="F20" i="1" s="1"/>
  <c r="E21" i="1"/>
  <c r="F21" i="1" s="1"/>
  <c r="E22" i="1"/>
  <c r="F22" i="1" s="1"/>
  <c r="E17" i="1"/>
  <c r="F17" i="1" s="1"/>
  <c r="E16" i="1"/>
  <c r="F16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8" i="3" l="1"/>
  <c r="F8" i="3" s="1"/>
  <c r="F7" i="3"/>
  <c r="E7" i="3"/>
  <c r="E6" i="3"/>
  <c r="F6" i="3" s="1"/>
  <c r="A6" i="3"/>
  <c r="A7" i="3" s="1"/>
  <c r="A8" i="3" s="1"/>
  <c r="E5" i="3"/>
  <c r="F5" i="3" s="1"/>
  <c r="F4" i="3"/>
  <c r="E4" i="3"/>
</calcChain>
</file>

<file path=xl/sharedStrings.xml><?xml version="1.0" encoding="utf-8"?>
<sst xmlns="http://schemas.openxmlformats.org/spreadsheetml/2006/main" count="325" uniqueCount="175">
  <si>
    <t>کارگزاری آینده نگر خوارزمی به مدیریت دکتر ذوقی 09123011311 و 61914000-021 (داخلی 408 الی 411)</t>
  </si>
  <si>
    <t>اختلاف</t>
  </si>
  <si>
    <t>درصد تغییر</t>
  </si>
  <si>
    <t>نرخ دلار</t>
  </si>
  <si>
    <t>تاریخ 1</t>
  </si>
  <si>
    <t xml:space="preserve">نام محصول </t>
  </si>
  <si>
    <t>تاریخ 2</t>
  </si>
  <si>
    <t>بنزن</t>
  </si>
  <si>
    <t>پارا زایلین</t>
  </si>
  <si>
    <t>پروپان مایع</t>
  </si>
  <si>
    <t>EPVC 7544 M</t>
  </si>
  <si>
    <t>پلی پروپیلن نساجی Z30S</t>
  </si>
  <si>
    <t>پلی پروپیلن نساجی HP565S</t>
  </si>
  <si>
    <t>پلی پروپیلن شیمیایی_ZR340R</t>
  </si>
  <si>
    <t>پلی پروپیلن شیمیایی ZR230C</t>
  </si>
  <si>
    <t>پلی پروپیلن شیمیایی ZB548T</t>
  </si>
  <si>
    <t>پلی پروپیلن شیمیایی ZB548R</t>
  </si>
  <si>
    <t>پلی پروپیلن شیمیایی ZB440L</t>
  </si>
  <si>
    <t>پلی پروپیلن شیمیایی ZB332C</t>
  </si>
  <si>
    <t>پلی پروپیلن شیمیایی RP 345S</t>
  </si>
  <si>
    <t>پلی پروپیلن شیمیایی RP 230C</t>
  </si>
  <si>
    <t>پلی پروپیلن شیمیایی RG3212E</t>
  </si>
  <si>
    <t>پلی پروپیلن شیمیایی HP515M</t>
  </si>
  <si>
    <t>پلی پروپیلن شیمیایی EPC40R</t>
  </si>
  <si>
    <t>پلی پروپیلن شیمیایی EP440G</t>
  </si>
  <si>
    <t>پلی پروپیلن شیمیایی EP3130UV</t>
  </si>
  <si>
    <t>پلی پروپیلن شیمیایی EP 445L</t>
  </si>
  <si>
    <t>پلی استایرن مقاوم 7240</t>
  </si>
  <si>
    <t>پلی استایرن مقاوم 6045</t>
  </si>
  <si>
    <t>پلی استایرن مقاوم 4512</t>
  </si>
  <si>
    <t>پلی استایرن معمولی 32N</t>
  </si>
  <si>
    <t>پلی استایرن معمولی 324-G</t>
  </si>
  <si>
    <t>پلی استایرن معمولی 1551</t>
  </si>
  <si>
    <t>پلی استایرن انبساطی105-F</t>
  </si>
  <si>
    <t>پلی استایرن انبساطی نسوز  400-F</t>
  </si>
  <si>
    <t>پلی استایرن انبساطی نسوز  200-F</t>
  </si>
  <si>
    <t>پلی استایرن انبساطی HS‏121</t>
  </si>
  <si>
    <t>پلی استایرن انبساطی FC‏522</t>
  </si>
  <si>
    <t>پلی استایرن انبساطی FC‏422</t>
  </si>
  <si>
    <t>پلی استایرن انبساطی 526WP</t>
  </si>
  <si>
    <t>پلی استایرن انبساطی 405-F</t>
  </si>
  <si>
    <t>پلی استایرن انبساطی 305-F</t>
  </si>
  <si>
    <t>پلی استایرن انبساطی 205-F</t>
  </si>
  <si>
    <t>پلی اتیلن سنگین دورانی 3840UA</t>
  </si>
  <si>
    <t>پلی اتیلن سنگین تزریقی52B18UV</t>
  </si>
  <si>
    <t>پلی اتیلن سنگین تزریقی I‏4</t>
  </si>
  <si>
    <t>پلی اتیلن سنگین تزریقی 52518</t>
  </si>
  <si>
    <t>پلی اتیلن سنگین تزریقی 52511</t>
  </si>
  <si>
    <t>پلی اتیلن سنگین تزریقی 5030SA</t>
  </si>
  <si>
    <t>پلی اتیلن سنگین بادی 0035</t>
  </si>
  <si>
    <t>پلی اتیلن سنگین اکستروژنARM CRP100 black</t>
  </si>
  <si>
    <t>پلی اتیلن سنگین اکستروژن 7700M</t>
  </si>
  <si>
    <t>پلی اتیلن سنگین اکستروژن 4460 HEX</t>
  </si>
  <si>
    <t>1و3 بوتادین</t>
  </si>
  <si>
    <t>اتیل بنزن</t>
  </si>
  <si>
    <t>ارتوزایلین</t>
  </si>
  <si>
    <t>استایرن منومر*</t>
  </si>
  <si>
    <t>اسید استیک</t>
  </si>
  <si>
    <t>اسید ترفتالیک</t>
  </si>
  <si>
    <t>اسید نیتریک</t>
  </si>
  <si>
    <t>اوره پریل</t>
  </si>
  <si>
    <t>اوره پریل بدون فرمالدئید</t>
  </si>
  <si>
    <t>اوره پریل فله</t>
  </si>
  <si>
    <t>اوره گرانوله</t>
  </si>
  <si>
    <t>اوره گرانوله فله</t>
  </si>
  <si>
    <t>ایزوبوتانول</t>
  </si>
  <si>
    <t>آروماتیک سنگین</t>
  </si>
  <si>
    <t>آلکیل بنزن خطی (LAB)</t>
  </si>
  <si>
    <t>آمونیاک (گاز)</t>
  </si>
  <si>
    <t>برش سنگین</t>
  </si>
  <si>
    <t>بوتان</t>
  </si>
  <si>
    <t>پروپان</t>
  </si>
  <si>
    <t>ردیف</t>
  </si>
  <si>
    <t>‫پلی وینیل کلراید 70 ‏S‬‏</t>
  </si>
  <si>
    <t xml:space="preserve">مقایسه قیمت پایه پلی وینیل کلراید PVC(S) </t>
  </si>
  <si>
    <t>پلی وینیل کلراید S70</t>
  </si>
  <si>
    <t>پلی وینیل کلراید S57</t>
  </si>
  <si>
    <t>پلی وینیل کلرایدS70(پزشکی)</t>
  </si>
  <si>
    <t xml:space="preserve"> پلی پروپیلن شیمیایی RP 210G</t>
  </si>
  <si>
    <t>پلی اتیلن سنگین اکستروژن EX3</t>
  </si>
  <si>
    <t>پلی اتیلن سنگین اکستروژن  CRP100‏</t>
  </si>
  <si>
    <t>پلی وینیل کلراید S65</t>
  </si>
  <si>
    <t>پلی استایرن معمولی MP08</t>
  </si>
  <si>
    <t>پلی اتیلن سنگین فیلم EX5</t>
  </si>
  <si>
    <t>پلی استایرن انبساطی‏ R200</t>
  </si>
  <si>
    <t>پلی اتیلن سنگین فیلم ‏MFI3713</t>
  </si>
  <si>
    <r>
      <rPr>
        <b/>
        <sz val="22"/>
        <color theme="1"/>
        <rFont val="B Nazanin"/>
        <charset val="178"/>
      </rPr>
      <t>مقایسه قیمت پایه محصولات  شیمیایی</t>
    </r>
    <r>
      <rPr>
        <sz val="12"/>
        <color theme="1"/>
        <rFont val="B Nazanin"/>
        <charset val="178"/>
      </rPr>
      <t xml:space="preserve"> </t>
    </r>
  </si>
  <si>
    <t xml:space="preserve">مقایسه قیمت پایه پلی وینیل کلراید PVC(E) </t>
  </si>
  <si>
    <t>EPVC 7244 H</t>
  </si>
  <si>
    <t>پلی وینیل کلراید E 7242</t>
  </si>
  <si>
    <t>پلی وینیل کلراید 7044 E</t>
  </si>
  <si>
    <t xml:space="preserve">پلی وینیل کلراید E 6834 </t>
  </si>
  <si>
    <t>پلی وینیل کلراید E 60</t>
  </si>
  <si>
    <t>مقایسه قیمت پایه محصولات پلی استایرن</t>
  </si>
  <si>
    <t>مقایسه قیمت پایه محصولات پلی اتیلن سنگین</t>
  </si>
  <si>
    <t>پلی اتیلن سبک خطی 0209AA</t>
  </si>
  <si>
    <t>پلی اتیلن سبک فیلم LFI2047A</t>
  </si>
  <si>
    <t>پلی اتیلن سبک فیلم 2420K</t>
  </si>
  <si>
    <t>پلی اتیلن سبک فیلم 2420E‏02</t>
  </si>
  <si>
    <t>پلی اتیلن سبک فیلم 2420D</t>
  </si>
  <si>
    <t>پلی اتیلن سبک فیلم 2102TX00‏</t>
  </si>
  <si>
    <t>پلی اتیلن سبک فیلم 2100TN00‏</t>
  </si>
  <si>
    <t>پلی اتیلن سبک فیلم 0200</t>
  </si>
  <si>
    <t>پلی اتیلن سبک فیلم  2420H</t>
  </si>
  <si>
    <t>پلی اتیلن سبک خطی 22501AA</t>
  </si>
  <si>
    <t>پلی اتیلن سبک خطی 0209KJ</t>
  </si>
  <si>
    <t>پلی اتیلن سبک تزریقی 1922T</t>
  </si>
  <si>
    <t>مقایسه قیمت پایه محصولات پلی اتیلن سبک</t>
  </si>
  <si>
    <t>پلی اتیلن ترفتالات بطری BG840S</t>
  </si>
  <si>
    <t>پلی اتیلن ترفتالات بطری BG840N</t>
  </si>
  <si>
    <t>پلی اتیلن ترفتالات بطری BG820S</t>
  </si>
  <si>
    <t>پلی اتیلن ترفتالات بطری BG820N</t>
  </si>
  <si>
    <t>پلی اتیلن ترفتالات بطری BG780S</t>
  </si>
  <si>
    <t>پلی اتیلن ترفتالات بطری BG780N</t>
  </si>
  <si>
    <t>پلی اتیلن ترفتالات بطری BG730S</t>
  </si>
  <si>
    <t>پلی اتیلن ترفتالات بطری BG730N</t>
  </si>
  <si>
    <t xml:space="preserve">مقایسه قیمت پایه محصولاتپلی اتیلن ترفتالات بطری PET </t>
  </si>
  <si>
    <t xml:space="preserve">مقایسه قیمت پایه محصولات MDI &amp; TDI   </t>
  </si>
  <si>
    <t>تولوئن دی ایزو سیانات (TDI)</t>
  </si>
  <si>
    <t>متیلن دی فنیل دی ایزوسیانات KLM100-C</t>
  </si>
  <si>
    <t>متیلن دی فنیل دی ایزوسیانات MDI پلیمری</t>
  </si>
  <si>
    <t>متیلن دی فنیل دی ایزوسیانات MDI پلیمری (KP600‏)</t>
  </si>
  <si>
    <t>متیلن دی فنیل دی ایزوسیانات MDI خالص</t>
  </si>
  <si>
    <t>متیلن دی فنیل دی ایزوسیانات MDI خالص (KM70)</t>
  </si>
  <si>
    <t>متیلن دی فنیل دی ایزوسیانات 20-KCS</t>
  </si>
  <si>
    <t>تری اتانول آمین</t>
  </si>
  <si>
    <t>تری اتیلن گلایکول</t>
  </si>
  <si>
    <t>تولوئن</t>
  </si>
  <si>
    <t>دو اتیل هگزانول</t>
  </si>
  <si>
    <t>دی اتانول آمین</t>
  </si>
  <si>
    <t>دی اتیلن گلایکول</t>
  </si>
  <si>
    <t>زایلین مخلوط</t>
  </si>
  <si>
    <t>سود کاستیک</t>
  </si>
  <si>
    <t>کریستال ملامین</t>
  </si>
  <si>
    <t>متانول</t>
  </si>
  <si>
    <t>منو اتانول آمین</t>
  </si>
  <si>
    <t>منو اتیلن گلایکول</t>
  </si>
  <si>
    <t>منومر وینیل استات</t>
  </si>
  <si>
    <t>نرمال بوتانول</t>
  </si>
  <si>
    <t>نفت کوره _CFO</t>
  </si>
  <si>
    <t xml:space="preserve">مقایسه قیمت پایه محصولات شیمیایی  </t>
  </si>
  <si>
    <t>مقایسه قیمت پایه محصولات DEG و MEG وTEG</t>
  </si>
  <si>
    <t xml:space="preserve">مقایسه قیمت پایه محصولات پلیمری </t>
  </si>
  <si>
    <t>پلی وینیل کلراید‏S70(پزشکی)</t>
  </si>
  <si>
    <t>پلی وینیل کلراید E7242</t>
  </si>
  <si>
    <t>پلی وینیل کلراید E7044</t>
  </si>
  <si>
    <t>پلی وینیل کلراید E6834</t>
  </si>
  <si>
    <t>پلی وینیل کلراید E6644</t>
  </si>
  <si>
    <t>پلی وینیل کلراید E60</t>
  </si>
  <si>
    <t>پلی پروپیلن شیمیایی EP440L</t>
  </si>
  <si>
    <t xml:space="preserve">پلی استایرن انبساطی HS121 </t>
  </si>
  <si>
    <t>پلی اتیلن سنگین فیلم F7000</t>
  </si>
  <si>
    <t>پلی اتیلن سنگین تزریقی 62N07UV</t>
  </si>
  <si>
    <t>پلی اتیلن سنگین اکستروژن CRP100</t>
  </si>
  <si>
    <t>پلی پروپیلن فیلم  HP545J</t>
  </si>
  <si>
    <t>پلی پروپیلن فیلم HP525J</t>
  </si>
  <si>
    <t>پلی پروپیلن فیلم RP120L</t>
  </si>
  <si>
    <t>پلی پروپیلن فیلم ZH525J</t>
  </si>
  <si>
    <t>استایرن بوتادین رابر روشن 1502</t>
  </si>
  <si>
    <t>اکریلونیتریل بوتادین استایرن 0150</t>
  </si>
  <si>
    <r>
      <rPr>
        <b/>
        <sz val="22"/>
        <color theme="1" tint="4.9989318521683403E-2"/>
        <rFont val="B Nazanin"/>
        <charset val="178"/>
      </rPr>
      <t>مقایسه قیمت پایه محصولات پلی پروپیلن نساجی</t>
    </r>
    <r>
      <rPr>
        <b/>
        <sz val="12"/>
        <color theme="1" tint="4.9989318521683403E-2"/>
        <rFont val="B Nazanin"/>
        <charset val="178"/>
      </rPr>
      <t xml:space="preserve"> </t>
    </r>
  </si>
  <si>
    <r>
      <rPr>
        <b/>
        <sz val="22"/>
        <color theme="1"/>
        <rFont val="B Nazanin"/>
        <charset val="178"/>
      </rPr>
      <t>مقایسه قیمت پایه محصولات پلی پروپیلن شیمیایی</t>
    </r>
    <r>
      <rPr>
        <b/>
        <sz val="12"/>
        <color theme="1"/>
        <rFont val="B Nazanin"/>
        <charset val="178"/>
      </rPr>
      <t xml:space="preserve"> </t>
    </r>
  </si>
  <si>
    <t>*</t>
  </si>
  <si>
    <t>مقایسه قیمت پایه محصولات MDI &amp; TDI مورخ تاریخ 1 و تاریخ 2 
لینک واتساپ⬇️       
https://chat.whatsapp.com/HBddSsmCnWAGot0Nvdauxs       
لینک تلگرام⬇️       
https://t.me/TDI_MDI
لینک بله⬅️
ble.ir/join/HLzkvyNxQu</t>
  </si>
  <si>
    <t>مقایسه قیمت پایه محصولات  پلی وینیل کلراید PVC(S)  مورخ تاریخ 1 و تاریخ 2 
لینک واتساپ⬇️
https://chat.whatsapp.com/H3OyG1UwQyu9SMYZSXjwTg   
لینک تلگرام⬅️
https://t.me/PVC_S
لینک بله⬅️
 ble.ir/join/7XbosDoRGo</t>
  </si>
  <si>
    <t>مقایسه قیمت پایه محصولات  پلی وینیل کلراید PVC(E)  مورخ تاریخ 1 و تاریخ 2 
لینک واتساپ⬇️       
https://chat.whatsapp.com/LhFNgEt7egF2ovPvtnRF0M
لینک تلگرام⬅️
https://t.me/PVC_E
لینک بله⬅️ 
ble.ir/join/7XbosDoRGo</t>
  </si>
  <si>
    <t>مقایسه قیمت پایه محصولات پلی پروپیلن نساجی مورخ تاریخ 1 و تاریخ 2 
لینک واتساپ⬇️       
https://chat.whatsapp.com/FvKUqp5OhfA6eBxxviRrxo   
لینک تلگرام⬇️
https://t.me/ppnasaji
لینک بله⬇️
ble.ir/join/9EtgjLCnFv</t>
  </si>
  <si>
    <t>مقایسه قیمت پایه محصولات پلی پروپیلن شیمیایی مورخ تاریخ 1 و تاریخ 2 
لینک واتساپ⬇️       
https://chat.whatsapp.com/JxWS75fiKxcA9VXa70xjSs    
لینک تلگرام⬇️
https://t.me/ppshimiaie
لینک بله⬇️
ble.ir/join/3gvEcFuSpr</t>
  </si>
  <si>
    <t>مقایسه قیمت پایه محصولات پلی استایرن مورخ تاریخ 1 و تاریخ 2 
لینک واتساپ⬇️       
https://chat.whatsapp.com/EwLit37nbqfEXKIx3yNuEA
تلگرام⬇️
https://t.me/PS_Borse_Kala
بله⬇️
ble.ir/join/3XgRvLQM2w</t>
  </si>
  <si>
    <t>مقایسه قیمت پایه محصولات پلی اتیلن سنگین مورخ تاریخ 1 و تاریخ 2 
لینک واتساپ⬇️       
  https://chat.whatsapp.com/JZHr5y0cVmWDnoNo0kRO4e   
   لینک تلگرام⬅️
https://t.me/HDPE_borskala
لینک بله⬅️
ble.ir/join/9g9DZDeMz6</t>
  </si>
  <si>
    <t>مقایسه قیمت پایه محصولات پلی اتیلن سبک مورخ تاریخ 1 و تاریخ 2 
لینک واتساپ⬇️       
https://chat.whatsapp.com/LM6jQnS14xuL7UosSEOOdd
لینک تلگرام⬇️
https://t.me/LDPE_borskala
لینک بله⬇️
ble.ir/join/2q2yEVgReR</t>
  </si>
  <si>
    <t>مقایسه قیمت پایه محصولات پلی اتیلن ترفتالات بطری PET مورخ تاریخ 1 و تاریخ 2 
لینک واتساپ⬇️       
https://chat.whatsapp.com/LM0hjBQLpDYBYoBz1FuaO2
لینک تلگرام⬇️
https://t.me/pet_preform
لینک بله⬇️
ble.ir/join/ARPoaUBPm6</t>
  </si>
  <si>
    <t>مقایسه قیمت پایه محصولات شیمیایی مورخ تاریخ 1 و تاریخ 2 
لینک واتساپ⬇️       
https://chat.whatsapp.com/DSqXEC3WHOx9Tt7hcmTSHa
تلگرام⬇️
https://t.me/Chemical_Products
بله⬇️
ble.ir/join/22Q9jHPj9z</t>
  </si>
  <si>
    <t>مقایسه قیمت پایه محصولات DEG و MEG وTEG مورخ تاریخ 1 و تاریخ 2 
لینک واتساپ⬇️       
https://chat.whatsapp.com/J94UkAEExjpEz03Oj9eAs7     
لینک تلگرام⬅️https://t.me/MEG_DEG
لینک بله⬅️
ble.ir/join/EY65U7sh4J</t>
  </si>
  <si>
    <t>مقایسه قیمت پایه محصولات پلیمری مورخ تاریخ 1 و تاریخ 2 
لینک واتساپ⬇️       
 https://chat.whatsapp.com/BTXNtXtQBLrDOqxKlUq4NM
تلگرام⬇️
 https://t.me/Polymer_Products
بله⬇️
ble.ir/join/5Fiz2zcYQC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</si>
</sst>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B Nazanin"/>
      <charset val="178"/>
    </font>
    <font>
      <b/>
      <sz val="22"/>
      <color theme="1"/>
      <name val="B Nazanin"/>
      <charset val="178"/>
    </font>
    <font>
      <sz val="10"/>
      <name val="B Nazanin"/>
      <charset val="178"/>
    </font>
    <font>
      <b/>
      <sz val="12"/>
      <color theme="1"/>
      <name val="B Nazanin"/>
      <charset val="178"/>
    </font>
    <font>
      <b/>
      <sz val="14"/>
      <color rgb="FF002060"/>
      <name val="B Nazanin"/>
      <charset val="178"/>
    </font>
    <font>
      <b/>
      <sz val="12"/>
      <color rgb="FF002060"/>
      <name val="B Nazanin"/>
      <charset val="178"/>
    </font>
    <font>
      <sz val="12"/>
      <color theme="1" tint="4.9989318521683403E-2"/>
      <name val="B Nazanin"/>
      <charset val="178"/>
    </font>
    <font>
      <b/>
      <sz val="12"/>
      <color theme="1" tint="4.9989318521683403E-2"/>
      <name val="B Nazanin"/>
      <charset val="178"/>
    </font>
    <font>
      <b/>
      <sz val="22"/>
      <color theme="1" tint="4.9989318521683403E-2"/>
      <name val="B Nazanin"/>
      <charset val="178"/>
    </font>
    <font>
      <b/>
      <sz val="12"/>
      <color theme="1" tint="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B Nazanin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name val="B Nazanin"/>
      <charset val="178"/>
    </font>
    <font>
      <sz val="14"/>
      <name val="B Nazanin"/>
      <charset val="178"/>
    </font>
    <font>
      <b/>
      <sz val="14"/>
      <color rgb="FFFF0000"/>
      <name val="B Nazanin"/>
      <charset val="178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B Nazanin"/>
      <charset val="178"/>
    </font>
    <font>
      <sz val="11"/>
      <color rgb="FFFF0000"/>
      <name val="B Nazanin"/>
      <charset val="178"/>
    </font>
    <font>
      <sz val="8"/>
      <color theme="1"/>
      <name val="B Nazanin"/>
      <charset val="178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 applyNumberFormat="1"/>
    <xf numFmtId="0" fontId="0" fillId="6" borderId="0" xfId="0" applyNumberFormat="1" applyFill="1"/>
    <xf numFmtId="0" fontId="1" fillId="6" borderId="0" xfId="0" applyNumberFormat="1" applyFont="1" applyFill="1"/>
    <xf numFmtId="0" fontId="1" fillId="0" borderId="0" xfId="0" applyNumberFormat="1" applyFont="1"/>
    <xf numFmtId="0" fontId="4" fillId="0" borderId="2" xfId="0" applyFont="1" applyFill="1" applyBorder="1" applyAlignment="1">
      <alignment horizontal="center" vertical="center" wrapText="1" readingOrder="2"/>
    </xf>
    <xf numFmtId="3" fontId="2" fillId="2" borderId="6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8" fillId="5" borderId="8" xfId="0" applyNumberFormat="1" applyFont="1" applyFill="1" applyBorder="1" applyAlignment="1">
      <alignment horizontal="center" vertical="center"/>
    </xf>
    <xf numFmtId="10" fontId="8" fillId="5" borderId="8" xfId="0" applyNumberFormat="1" applyFont="1" applyFill="1" applyBorder="1" applyAlignment="1">
      <alignment horizontal="center" vertical="center"/>
    </xf>
    <xf numFmtId="3" fontId="2" fillId="6" borderId="0" xfId="0" applyNumberFormat="1" applyFont="1" applyFill="1" applyBorder="1" applyAlignment="1">
      <alignment horizontal="center" vertical="center"/>
    </xf>
    <xf numFmtId="3" fontId="8" fillId="6" borderId="0" xfId="0" applyNumberFormat="1" applyFont="1" applyFill="1" applyBorder="1" applyAlignment="1">
      <alignment horizontal="center" vertical="center"/>
    </xf>
    <xf numFmtId="10" fontId="8" fillId="6" borderId="0" xfId="0" applyNumberFormat="1" applyFont="1" applyFill="1" applyBorder="1" applyAlignment="1">
      <alignment horizontal="center" vertical="center"/>
    </xf>
    <xf numFmtId="0" fontId="0" fillId="6" borderId="0" xfId="0" applyNumberFormat="1" applyFill="1" applyBorder="1"/>
    <xf numFmtId="0" fontId="11" fillId="6" borderId="0" xfId="0" applyNumberFormat="1" applyFont="1" applyFill="1"/>
    <xf numFmtId="0" fontId="11" fillId="0" borderId="0" xfId="0" applyNumberFormat="1" applyFont="1"/>
    <xf numFmtId="3" fontId="2" fillId="6" borderId="7" xfId="0" applyNumberFormat="1" applyFont="1" applyFill="1" applyBorder="1" applyAlignment="1">
      <alignment horizontal="center" vertical="center"/>
    </xf>
    <xf numFmtId="3" fontId="8" fillId="6" borderId="7" xfId="0" applyNumberFormat="1" applyFont="1" applyFill="1" applyBorder="1" applyAlignment="1">
      <alignment horizontal="center" vertical="center"/>
    </xf>
    <xf numFmtId="10" fontId="8" fillId="6" borderId="3" xfId="0" applyNumberFormat="1" applyFont="1" applyFill="1" applyBorder="1" applyAlignment="1">
      <alignment horizontal="center" vertical="center"/>
    </xf>
    <xf numFmtId="3" fontId="9" fillId="6" borderId="0" xfId="0" applyNumberFormat="1" applyFont="1" applyFill="1" applyBorder="1" applyAlignment="1">
      <alignment horizontal="center" vertical="center"/>
    </xf>
    <xf numFmtId="10" fontId="9" fillId="6" borderId="0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2" fillId="6" borderId="0" xfId="0" applyNumberFormat="1" applyFont="1" applyFill="1" applyBorder="1" applyAlignment="1">
      <alignment horizontal="center" vertical="center"/>
    </xf>
    <xf numFmtId="0" fontId="12" fillId="6" borderId="0" xfId="0" applyNumberFormat="1" applyFont="1" applyFill="1" applyBorder="1"/>
    <xf numFmtId="3" fontId="13" fillId="6" borderId="0" xfId="0" applyNumberFormat="1" applyFont="1" applyFill="1" applyBorder="1" applyAlignment="1">
      <alignment horizontal="center" vertical="center"/>
    </xf>
    <xf numFmtId="3" fontId="13" fillId="6" borderId="5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4" fillId="7" borderId="9" xfId="0" applyNumberFormat="1" applyFont="1" applyFill="1" applyBorder="1"/>
    <xf numFmtId="0" fontId="15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 wrapText="1" readingOrder="2"/>
    </xf>
    <xf numFmtId="0" fontId="14" fillId="8" borderId="0" xfId="0" applyNumberFormat="1" applyFont="1" applyFill="1" applyBorder="1"/>
    <xf numFmtId="0" fontId="16" fillId="0" borderId="1" xfId="0" applyFont="1" applyFill="1" applyBorder="1" applyAlignment="1">
      <alignment horizontal="center" vertical="center" wrapText="1" readingOrder="2"/>
    </xf>
    <xf numFmtId="0" fontId="16" fillId="0" borderId="1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 readingOrder="2"/>
    </xf>
    <xf numFmtId="0" fontId="15" fillId="0" borderId="1" xfId="0" applyFont="1" applyFill="1" applyBorder="1" applyAlignment="1">
      <alignment horizontal="center" vertical="center" wrapText="1" readingOrder="2"/>
    </xf>
    <xf numFmtId="0" fontId="18" fillId="0" borderId="1" xfId="0" applyFont="1" applyFill="1" applyBorder="1" applyAlignment="1">
      <alignment horizontal="center" vertical="center" wrapText="1" readingOrder="2"/>
    </xf>
    <xf numFmtId="0" fontId="18" fillId="6" borderId="7" xfId="0" applyFont="1" applyFill="1" applyBorder="1" applyAlignment="1">
      <alignment horizontal="center" vertical="center" wrapText="1" readingOrder="2"/>
    </xf>
    <xf numFmtId="0" fontId="18" fillId="6" borderId="0" xfId="0" applyFont="1" applyFill="1" applyBorder="1" applyAlignment="1">
      <alignment horizontal="center" vertical="center" wrapText="1" readingOrder="2"/>
    </xf>
    <xf numFmtId="0" fontId="16" fillId="6" borderId="0" xfId="0" applyFont="1" applyFill="1" applyBorder="1" applyAlignment="1">
      <alignment horizontal="center" vertical="center" wrapText="1" readingOrder="2"/>
    </xf>
    <xf numFmtId="0" fontId="19" fillId="6" borderId="0" xfId="0" applyNumberFormat="1" applyFont="1" applyFill="1" applyBorder="1"/>
    <xf numFmtId="0" fontId="20" fillId="6" borderId="0" xfId="0" applyNumberFormat="1" applyFont="1" applyFill="1" applyBorder="1"/>
    <xf numFmtId="0" fontId="19" fillId="6" borderId="0" xfId="0" applyNumberFormat="1" applyFont="1" applyFill="1"/>
    <xf numFmtId="0" fontId="19" fillId="0" borderId="0" xfId="0" applyNumberFormat="1" applyFont="1"/>
    <xf numFmtId="3" fontId="12" fillId="6" borderId="0" xfId="0" applyNumberFormat="1" applyFont="1" applyFill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15" fillId="2" borderId="3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0" fontId="0" fillId="0" borderId="0" xfId="0" applyNumberFormat="1" applyBorder="1"/>
    <xf numFmtId="3" fontId="1" fillId="0" borderId="1" xfId="0" applyNumberFormat="1" applyFont="1" applyBorder="1" applyAlignment="1">
      <alignment horizontal="center" vertical="center"/>
    </xf>
    <xf numFmtId="3" fontId="15" fillId="2" borderId="5" xfId="0" applyNumberFormat="1" applyFont="1" applyFill="1" applyBorder="1" applyAlignment="1">
      <alignment horizontal="center" vertical="center"/>
    </xf>
    <xf numFmtId="0" fontId="24" fillId="6" borderId="0" xfId="0" applyNumberFormat="1" applyFont="1" applyFill="1"/>
    <xf numFmtId="0" fontId="24" fillId="0" borderId="0" xfId="0" applyNumberFormat="1" applyFont="1"/>
    <xf numFmtId="3" fontId="21" fillId="3" borderId="1" xfId="0" applyNumberFormat="1" applyFont="1" applyFill="1" applyBorder="1" applyAlignment="1">
      <alignment horizontal="center" vertical="center" wrapText="1"/>
    </xf>
    <xf numFmtId="3" fontId="21" fillId="3" borderId="5" xfId="0" applyNumberFormat="1" applyFont="1" applyFill="1" applyBorder="1" applyAlignment="1">
      <alignment horizontal="center" vertical="center" wrapText="1"/>
    </xf>
    <xf numFmtId="3" fontId="23" fillId="3" borderId="7" xfId="0" applyNumberFormat="1" applyFont="1" applyFill="1" applyBorder="1" applyAlignment="1">
      <alignment horizontal="center" vertical="center"/>
    </xf>
    <xf numFmtId="3" fontId="23" fillId="3" borderId="3" xfId="0" applyNumberFormat="1" applyFont="1" applyFill="1" applyBorder="1" applyAlignment="1">
      <alignment horizontal="center" vertical="center"/>
    </xf>
    <xf numFmtId="3" fontId="23" fillId="3" borderId="1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horizontal="center" vertical="center"/>
    </xf>
    <xf numFmtId="3" fontId="22" fillId="3" borderId="3" xfId="0" applyNumberFormat="1" applyFont="1" applyFill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304800</xdr:colOff>
      <xdr:row>0</xdr:row>
      <xdr:rowOff>0</xdr:rowOff>
    </xdr:from>
    <xdr:ext cx="5879536" cy="170955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76D5BA-0FD3-4A07-AED3-B27F453D8E19}"/>
            </a:ext>
          </a:extLst>
        </xdr:cNvPr>
        <xdr:cNvSpPr/>
      </xdr:nvSpPr>
      <xdr:spPr>
        <a:xfrm rot="21008615">
          <a:off x="11201159264" y="1857375"/>
          <a:ext cx="5879536" cy="1709556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r" rtl="1"/>
          <a:r>
            <a:rPr lang="fa-IR" sz="4000" b="1" cap="none" spc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کارگزاری</a:t>
          </a:r>
          <a:r>
            <a:rPr lang="fa-IR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 آینده نگر خوارزمی </a:t>
          </a:r>
          <a:r>
            <a:rPr lang="en-US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/>
          </a:r>
          <a:br>
            <a:rPr lang="en-US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</a:br>
          <a:r>
            <a:rPr lang="fa-IR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311 11 30 0912</a:t>
          </a:r>
          <a:endParaRPr lang="en-US" sz="4000" b="1" cap="none" spc="0">
            <a:ln/>
            <a:solidFill>
              <a:schemeClr val="accent5">
                <a:lumMod val="75000"/>
                <a:alpha val="35000"/>
              </a:schemeClr>
            </a:solidFill>
            <a:effectLst/>
            <a:cs typeface="B Nazanin" panose="00000400000000000000" pitchFamily="2" charset="-78"/>
          </a:endParaRPr>
        </a:p>
      </xdr:txBody>
    </xdr:sp>
    <xdr:clientData/>
  </xdr:oneCellAnchor>
  <xdr:twoCellAnchor editAs="oneCell">
    <xdr:from>
      <xdr:col>5</xdr:col>
      <xdr:colOff>936496</xdr:colOff>
      <xdr:row>2</xdr:row>
      <xdr:rowOff>323849</xdr:rowOff>
    </xdr:from>
    <xdr:to>
      <xdr:col>13</xdr:col>
      <xdr:colOff>674390</xdr:colOff>
      <xdr:row>10</xdr:row>
      <xdr:rowOff>1323974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6557410" y="676274"/>
          <a:ext cx="5443369" cy="3657600"/>
        </a:xfrm>
        <a:prstGeom prst="rect">
          <a:avLst/>
        </a:prstGeom>
      </xdr:spPr>
    </xdr:pic>
    <xdr:clientData/>
  </xdr:twoCellAnchor>
  <xdr:twoCellAnchor editAs="oneCell">
    <xdr:from>
      <xdr:col>1</xdr:col>
      <xdr:colOff>1555619</xdr:colOff>
      <xdr:row>15</xdr:row>
      <xdr:rowOff>38099</xdr:rowOff>
    </xdr:from>
    <xdr:to>
      <xdr:col>3</xdr:col>
      <xdr:colOff>1464965</xdr:colOff>
      <xdr:row>23</xdr:row>
      <xdr:rowOff>1228724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4196460" y="4600574"/>
          <a:ext cx="5443371" cy="3657600"/>
        </a:xfrm>
        <a:prstGeom prst="rect">
          <a:avLst/>
        </a:prstGeom>
      </xdr:spPr>
    </xdr:pic>
    <xdr:clientData/>
  </xdr:twoCellAnchor>
  <xdr:twoCellAnchor editAs="oneCell">
    <xdr:from>
      <xdr:col>1</xdr:col>
      <xdr:colOff>1057499</xdr:colOff>
      <xdr:row>40</xdr:row>
      <xdr:rowOff>238124</xdr:rowOff>
    </xdr:from>
    <xdr:to>
      <xdr:col>4</xdr:col>
      <xdr:colOff>417215</xdr:colOff>
      <xdr:row>52</xdr:row>
      <xdr:rowOff>398145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605910" y="12506324"/>
          <a:ext cx="6532041" cy="4389120"/>
        </a:xfrm>
        <a:prstGeom prst="rect">
          <a:avLst/>
        </a:prstGeom>
      </xdr:spPr>
    </xdr:pic>
    <xdr:clientData/>
  </xdr:twoCellAnchor>
  <xdr:twoCellAnchor editAs="oneCell">
    <xdr:from>
      <xdr:col>1</xdr:col>
      <xdr:colOff>1030315</xdr:colOff>
      <xdr:row>63</xdr:row>
      <xdr:rowOff>304799</xdr:rowOff>
    </xdr:from>
    <xdr:to>
      <xdr:col>4</xdr:col>
      <xdr:colOff>36215</xdr:colOff>
      <xdr:row>75</xdr:row>
      <xdr:rowOff>227075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986910" y="20126324"/>
          <a:ext cx="6178225" cy="4151376"/>
        </a:xfrm>
        <a:prstGeom prst="rect">
          <a:avLst/>
        </a:prstGeom>
      </xdr:spPr>
    </xdr:pic>
    <xdr:clientData/>
  </xdr:twoCellAnchor>
  <xdr:twoCellAnchor editAs="oneCell">
    <xdr:from>
      <xdr:col>1</xdr:col>
      <xdr:colOff>1220815</xdr:colOff>
      <xdr:row>87</xdr:row>
      <xdr:rowOff>85724</xdr:rowOff>
    </xdr:from>
    <xdr:to>
      <xdr:col>4</xdr:col>
      <xdr:colOff>226715</xdr:colOff>
      <xdr:row>98</xdr:row>
      <xdr:rowOff>208025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796410" y="27812999"/>
          <a:ext cx="6178225" cy="41513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1239867</xdr:colOff>
      <xdr:row>107</xdr:row>
      <xdr:rowOff>38099</xdr:rowOff>
    </xdr:from>
    <xdr:to>
      <xdr:col>4</xdr:col>
      <xdr:colOff>245766</xdr:colOff>
      <xdr:row>119</xdr:row>
      <xdr:rowOff>160400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777359" y="34261424"/>
          <a:ext cx="6178224" cy="4151376"/>
        </a:xfrm>
        <a:prstGeom prst="rect">
          <a:avLst/>
        </a:prstGeom>
      </xdr:spPr>
    </xdr:pic>
    <xdr:clientData/>
  </xdr:twoCellAnchor>
  <xdr:twoCellAnchor editAs="oneCell">
    <xdr:from>
      <xdr:col>1</xdr:col>
      <xdr:colOff>1173190</xdr:colOff>
      <xdr:row>124</xdr:row>
      <xdr:rowOff>209549</xdr:rowOff>
    </xdr:from>
    <xdr:to>
      <xdr:col>4</xdr:col>
      <xdr:colOff>179090</xdr:colOff>
      <xdr:row>134</xdr:row>
      <xdr:rowOff>1191821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844035" y="39871649"/>
          <a:ext cx="6178225" cy="4151376"/>
        </a:xfrm>
        <a:prstGeom prst="rect">
          <a:avLst/>
        </a:prstGeom>
      </xdr:spPr>
    </xdr:pic>
    <xdr:clientData/>
  </xdr:twoCellAnchor>
  <xdr:twoCellAnchor editAs="oneCell">
    <xdr:from>
      <xdr:col>1</xdr:col>
      <xdr:colOff>1812796</xdr:colOff>
      <xdr:row>139</xdr:row>
      <xdr:rowOff>85725</xdr:rowOff>
    </xdr:from>
    <xdr:to>
      <xdr:col>4</xdr:col>
      <xdr:colOff>83840</xdr:colOff>
      <xdr:row>148</xdr:row>
      <xdr:rowOff>698047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939285" y="44548425"/>
          <a:ext cx="5443369" cy="3657600"/>
        </a:xfrm>
        <a:prstGeom prst="rect">
          <a:avLst/>
        </a:prstGeom>
      </xdr:spPr>
    </xdr:pic>
    <xdr:clientData/>
  </xdr:twoCellAnchor>
  <xdr:twoCellAnchor editAs="oneCell">
    <xdr:from>
      <xdr:col>1</xdr:col>
      <xdr:colOff>1360974</xdr:colOff>
      <xdr:row>160</xdr:row>
      <xdr:rowOff>66674</xdr:rowOff>
    </xdr:from>
    <xdr:to>
      <xdr:col>4</xdr:col>
      <xdr:colOff>312440</xdr:colOff>
      <xdr:row>171</xdr:row>
      <xdr:rowOff>304799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710685" y="51444524"/>
          <a:ext cx="6123791" cy="411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1103801</xdr:colOff>
      <xdr:row>188</xdr:row>
      <xdr:rowOff>95249</xdr:rowOff>
    </xdr:from>
    <xdr:to>
      <xdr:col>4</xdr:col>
      <xdr:colOff>55265</xdr:colOff>
      <xdr:row>199</xdr:row>
      <xdr:rowOff>333375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967860" y="60855224"/>
          <a:ext cx="6123789" cy="411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1008551</xdr:colOff>
      <xdr:row>244</xdr:row>
      <xdr:rowOff>285749</xdr:rowOff>
    </xdr:from>
    <xdr:to>
      <xdr:col>3</xdr:col>
      <xdr:colOff>1598315</xdr:colOff>
      <xdr:row>256</xdr:row>
      <xdr:rowOff>171450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4063110" y="79676624"/>
          <a:ext cx="6123789" cy="411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226</xdr:row>
      <xdr:rowOff>114300</xdr:rowOff>
    </xdr:from>
    <xdr:to>
      <xdr:col>4</xdr:col>
      <xdr:colOff>116736</xdr:colOff>
      <xdr:row>238</xdr:row>
      <xdr:rowOff>358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3906389" y="73161525"/>
          <a:ext cx="6127011" cy="4115157"/>
        </a:xfrm>
        <a:prstGeom prst="rect">
          <a:avLst/>
        </a:prstGeom>
      </xdr:spPr>
    </xdr:pic>
    <xdr:clientData/>
  </xdr:twoCellAnchor>
  <xdr:twoCellAnchor editAs="oneCell">
    <xdr:from>
      <xdr:col>1</xdr:col>
      <xdr:colOff>1323975</xdr:colOff>
      <xdr:row>4</xdr:row>
      <xdr:rowOff>152399</xdr:rowOff>
    </xdr:from>
    <xdr:to>
      <xdr:col>4</xdr:col>
      <xdr:colOff>371475</xdr:colOff>
      <xdr:row>10</xdr:row>
      <xdr:rowOff>114299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E656D71-A6CD-C2A9-E037-6BEDD49CF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 amt="1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861200" y="1400174"/>
          <a:ext cx="6219825" cy="172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9"/>
  <sheetViews>
    <sheetView rightToLeft="1" tabSelected="1" topLeftCell="A2" zoomScaleNormal="100" workbookViewId="0">
      <selection activeCell="B8" sqref="B8"/>
    </sheetView>
  </sheetViews>
  <sheetFormatPr defaultRowHeight="27.95" customHeight="1" x14ac:dyDescent="0.3"/>
  <cols>
    <col min="1" max="1" width="7.625" style="35" bestFit="1" customWidth="1"/>
    <col min="2" max="2" width="52.125" style="57" customWidth="1"/>
    <col min="3" max="3" width="20.5" customWidth="1"/>
    <col min="4" max="4" width="21.5" customWidth="1"/>
    <col min="5" max="5" width="17" customWidth="1"/>
    <col min="6" max="6" width="16.875" customWidth="1"/>
    <col min="7" max="7" width="4" style="1" customWidth="1"/>
    <col min="8" max="34" width="9" style="1"/>
  </cols>
  <sheetData>
    <row r="1" spans="1:34" ht="27.95" hidden="1" customHeight="1" x14ac:dyDescent="0.55000000000000004">
      <c r="A1" s="18">
        <v>9</v>
      </c>
      <c r="B1" s="41" t="s">
        <v>73</v>
      </c>
      <c r="C1" s="18"/>
      <c r="D1" s="18"/>
      <c r="E1" s="19">
        <f t="shared" ref="E1" si="0">D1-C1</f>
        <v>0</v>
      </c>
      <c r="F1" s="20" t="e">
        <f t="shared" ref="F1" si="1">(E1/C1)</f>
        <v>#DIV/0!</v>
      </c>
    </row>
    <row r="2" spans="1:34" ht="27.95" customHeight="1" x14ac:dyDescent="0.25">
      <c r="A2" s="80" t="s">
        <v>0</v>
      </c>
      <c r="B2" s="81"/>
      <c r="C2" s="81"/>
      <c r="D2" s="81"/>
      <c r="E2" s="81"/>
      <c r="F2" s="81"/>
    </row>
    <row r="3" spans="1:34" ht="42.95" customHeight="1" x14ac:dyDescent="0.25">
      <c r="A3" s="82" t="s">
        <v>74</v>
      </c>
      <c r="B3" s="83"/>
      <c r="C3" s="84"/>
      <c r="D3" s="84"/>
      <c r="E3" s="84"/>
      <c r="F3" s="85"/>
    </row>
    <row r="4" spans="1:34" s="57" customFormat="1" ht="27.95" customHeight="1" x14ac:dyDescent="0.3">
      <c r="A4" s="62"/>
      <c r="B4" s="61" t="s">
        <v>5</v>
      </c>
      <c r="C4" s="61" t="s">
        <v>4</v>
      </c>
      <c r="D4" s="42" t="s">
        <v>6</v>
      </c>
      <c r="E4" s="42" t="s">
        <v>1</v>
      </c>
      <c r="F4" s="42" t="s">
        <v>2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</row>
    <row r="5" spans="1:34" ht="27.95" customHeight="1" x14ac:dyDescent="0.25">
      <c r="A5" s="59" t="s">
        <v>72</v>
      </c>
      <c r="B5" s="60" t="s">
        <v>3</v>
      </c>
      <c r="C5" s="10"/>
      <c r="D5" s="10"/>
      <c r="E5" s="11">
        <f>D5-C5</f>
        <v>0</v>
      </c>
      <c r="F5" s="12" t="e">
        <f>(E5/C5)</f>
        <v>#DIV/0!</v>
      </c>
    </row>
    <row r="6" spans="1:34" ht="27.95" customHeight="1" x14ac:dyDescent="0.25">
      <c r="A6" s="14"/>
      <c r="B6" s="43" t="s">
        <v>75</v>
      </c>
      <c r="C6" s="14"/>
      <c r="D6" s="14"/>
      <c r="E6" s="11">
        <f>D6-C6</f>
        <v>0</v>
      </c>
      <c r="F6" s="12" t="e">
        <f>(E6/C6)</f>
        <v>#DIV/0!</v>
      </c>
    </row>
    <row r="7" spans="1:34" ht="27.95" customHeight="1" x14ac:dyDescent="0.25">
      <c r="A7" s="14"/>
      <c r="B7" s="43" t="s">
        <v>143</v>
      </c>
      <c r="C7" s="14"/>
      <c r="D7" s="14"/>
      <c r="E7" s="11">
        <f t="shared" ref="E7:E9" si="2">D7-C7</f>
        <v>0</v>
      </c>
      <c r="F7" s="12" t="e">
        <f t="shared" ref="F7:F9" si="3">(E7/C7)</f>
        <v>#DIV/0!</v>
      </c>
    </row>
    <row r="8" spans="1:34" ht="27.95" customHeight="1" x14ac:dyDescent="0.25">
      <c r="A8" s="14"/>
      <c r="B8" s="44" t="s">
        <v>76</v>
      </c>
      <c r="C8" s="14"/>
      <c r="D8" s="14"/>
      <c r="E8" s="11">
        <f t="shared" si="2"/>
        <v>0</v>
      </c>
      <c r="F8" s="12" t="e">
        <f t="shared" si="3"/>
        <v>#DIV/0!</v>
      </c>
    </row>
    <row r="9" spans="1:34" ht="27.95" customHeight="1" x14ac:dyDescent="0.25">
      <c r="A9" s="14"/>
      <c r="B9" s="44" t="s">
        <v>81</v>
      </c>
      <c r="C9" s="14"/>
      <c r="D9" s="14"/>
      <c r="E9" s="11">
        <f t="shared" si="2"/>
        <v>0</v>
      </c>
      <c r="F9" s="12" t="e">
        <f t="shared" si="3"/>
        <v>#DIV/0!</v>
      </c>
    </row>
    <row r="10" spans="1:34" s="24" customFormat="1" ht="24.75" hidden="1" customHeight="1" x14ac:dyDescent="0.55000000000000004">
      <c r="A10" s="38" t="s">
        <v>162</v>
      </c>
      <c r="B10" s="45"/>
      <c r="C10" s="21"/>
      <c r="D10" s="21"/>
      <c r="E10" s="22"/>
      <c r="F10" s="23"/>
    </row>
    <row r="11" spans="1:34" ht="145.5" customHeight="1" x14ac:dyDescent="0.25">
      <c r="A11" s="69" t="s">
        <v>164</v>
      </c>
      <c r="B11" s="77"/>
      <c r="C11" s="77"/>
      <c r="D11" s="77"/>
      <c r="E11" s="77"/>
      <c r="F11" s="78"/>
    </row>
    <row r="12" spans="1:34" s="24" customFormat="1" ht="24.75" customHeight="1" x14ac:dyDescent="0.55000000000000004">
      <c r="A12" s="38"/>
      <c r="B12" s="45"/>
      <c r="C12" s="21"/>
      <c r="D12" s="21"/>
      <c r="E12" s="22"/>
      <c r="F12" s="23"/>
    </row>
    <row r="13" spans="1:34" ht="31.5" customHeight="1" x14ac:dyDescent="0.25">
      <c r="A13" s="80" t="s">
        <v>0</v>
      </c>
      <c r="B13" s="81"/>
      <c r="C13" s="81"/>
      <c r="D13" s="81"/>
      <c r="E13" s="81"/>
      <c r="F13" s="81"/>
    </row>
    <row r="14" spans="1:34" s="57" customFormat="1" ht="45" customHeight="1" x14ac:dyDescent="0.3">
      <c r="A14" s="82" t="s">
        <v>87</v>
      </c>
      <c r="B14" s="83"/>
      <c r="C14" s="84"/>
      <c r="D14" s="84"/>
      <c r="E14" s="84"/>
      <c r="F14" s="85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</row>
    <row r="15" spans="1:34" s="3" customFormat="1" ht="27.95" customHeight="1" x14ac:dyDescent="0.25">
      <c r="A15" s="62"/>
      <c r="B15" s="61" t="s">
        <v>5</v>
      </c>
      <c r="C15" s="61" t="s">
        <v>4</v>
      </c>
      <c r="D15" s="42" t="s">
        <v>6</v>
      </c>
      <c r="E15" s="42" t="s">
        <v>1</v>
      </c>
      <c r="F15" s="42" t="s">
        <v>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7.95" customHeight="1" x14ac:dyDescent="0.25">
      <c r="A16" s="59" t="s">
        <v>72</v>
      </c>
      <c r="B16" s="60" t="s">
        <v>3</v>
      </c>
      <c r="C16" s="10"/>
      <c r="D16" s="10"/>
      <c r="E16" s="11">
        <f>D16-C16</f>
        <v>0</v>
      </c>
      <c r="F16" s="12" t="e">
        <f>(E16/C16)</f>
        <v>#DIV/0!</v>
      </c>
    </row>
    <row r="17" spans="1:34" ht="27.95" customHeight="1" x14ac:dyDescent="0.25">
      <c r="A17" s="14"/>
      <c r="B17" s="46" t="s">
        <v>88</v>
      </c>
      <c r="C17" s="14"/>
      <c r="D17" s="14"/>
      <c r="E17" s="11">
        <f>D17-C17</f>
        <v>0</v>
      </c>
      <c r="F17" s="12" t="e">
        <f>(E17/C17)</f>
        <v>#DIV/0!</v>
      </c>
    </row>
    <row r="18" spans="1:34" ht="27.95" customHeight="1" x14ac:dyDescent="0.25">
      <c r="A18" s="14"/>
      <c r="B18" s="46" t="s">
        <v>89</v>
      </c>
      <c r="C18" s="14"/>
      <c r="D18" s="14"/>
      <c r="E18" s="11">
        <f t="shared" ref="E18:E22" si="4">D18-C18</f>
        <v>0</v>
      </c>
      <c r="F18" s="12" t="e">
        <f t="shared" ref="F18:F22" si="5">(E18/C18)</f>
        <v>#DIV/0!</v>
      </c>
    </row>
    <row r="19" spans="1:34" ht="27.95" customHeight="1" x14ac:dyDescent="0.25">
      <c r="A19" s="14"/>
      <c r="B19" s="46" t="s">
        <v>90</v>
      </c>
      <c r="C19" s="14"/>
      <c r="D19" s="14"/>
      <c r="E19" s="11">
        <f t="shared" si="4"/>
        <v>0</v>
      </c>
      <c r="F19" s="12" t="e">
        <f t="shared" si="5"/>
        <v>#DIV/0!</v>
      </c>
    </row>
    <row r="20" spans="1:34" ht="27.95" customHeight="1" x14ac:dyDescent="0.25">
      <c r="A20" s="14"/>
      <c r="B20" s="46" t="s">
        <v>91</v>
      </c>
      <c r="C20" s="14"/>
      <c r="D20" s="14"/>
      <c r="E20" s="11">
        <f t="shared" si="4"/>
        <v>0</v>
      </c>
      <c r="F20" s="12" t="e">
        <f t="shared" si="5"/>
        <v>#DIV/0!</v>
      </c>
    </row>
    <row r="21" spans="1:34" ht="27.95" customHeight="1" x14ac:dyDescent="0.25">
      <c r="A21" s="14"/>
      <c r="B21" s="47" t="s">
        <v>10</v>
      </c>
      <c r="C21" s="14"/>
      <c r="D21" s="14"/>
      <c r="E21" s="11">
        <f t="shared" si="4"/>
        <v>0</v>
      </c>
      <c r="F21" s="12" t="e">
        <f t="shared" si="5"/>
        <v>#DIV/0!</v>
      </c>
    </row>
    <row r="22" spans="1:34" s="24" customFormat="1" ht="27.95" customHeight="1" x14ac:dyDescent="0.25">
      <c r="A22" s="14"/>
      <c r="B22" s="46" t="s">
        <v>92</v>
      </c>
      <c r="C22" s="14"/>
      <c r="D22" s="14"/>
      <c r="E22" s="11">
        <f t="shared" si="4"/>
        <v>0</v>
      </c>
      <c r="F22" s="12" t="e">
        <f t="shared" si="5"/>
        <v>#DIV/0!</v>
      </c>
    </row>
    <row r="23" spans="1:34" ht="27.95" hidden="1" customHeight="1" x14ac:dyDescent="0.25">
      <c r="A23" s="38" t="s">
        <v>162</v>
      </c>
      <c r="B23" s="48"/>
      <c r="C23" s="21"/>
      <c r="D23" s="21"/>
      <c r="E23" s="22"/>
      <c r="F23" s="23"/>
    </row>
    <row r="24" spans="1:34" s="26" customFormat="1" ht="135.75" customHeight="1" x14ac:dyDescent="0.25">
      <c r="A24" s="69" t="s">
        <v>165</v>
      </c>
      <c r="B24" s="77"/>
      <c r="C24" s="77"/>
      <c r="D24" s="77"/>
      <c r="E24" s="77"/>
      <c r="F24" s="78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27.95" customHeight="1" x14ac:dyDescent="0.25">
      <c r="A25" s="38"/>
      <c r="B25" s="48"/>
      <c r="C25" s="21"/>
      <c r="D25" s="21"/>
      <c r="E25" s="22"/>
      <c r="F25" s="23"/>
    </row>
    <row r="26" spans="1:34" ht="35.25" customHeight="1" x14ac:dyDescent="0.25">
      <c r="A26" s="80" t="s">
        <v>0</v>
      </c>
      <c r="B26" s="81"/>
      <c r="C26" s="81"/>
      <c r="D26" s="81"/>
      <c r="E26" s="81"/>
      <c r="F26" s="81"/>
    </row>
    <row r="27" spans="1:34" ht="45" customHeight="1" x14ac:dyDescent="0.25">
      <c r="A27" s="82" t="s">
        <v>160</v>
      </c>
      <c r="B27" s="83"/>
      <c r="C27" s="84"/>
      <c r="D27" s="84"/>
      <c r="E27" s="84"/>
      <c r="F27" s="85"/>
    </row>
    <row r="28" spans="1:34" s="67" customFormat="1" ht="27.95" customHeight="1" x14ac:dyDescent="0.3">
      <c r="A28" s="65"/>
      <c r="B28" s="61" t="s">
        <v>5</v>
      </c>
      <c r="C28" s="61" t="s">
        <v>4</v>
      </c>
      <c r="D28" s="42" t="s">
        <v>6</v>
      </c>
      <c r="E28" s="42" t="s">
        <v>1</v>
      </c>
      <c r="F28" s="42" t="s">
        <v>2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</row>
    <row r="29" spans="1:34" ht="27.95" customHeight="1" x14ac:dyDescent="0.25">
      <c r="A29" s="59" t="s">
        <v>72</v>
      </c>
      <c r="B29" s="60" t="s">
        <v>3</v>
      </c>
      <c r="C29" s="10"/>
      <c r="D29" s="10"/>
      <c r="E29" s="15">
        <f t="shared" ref="E29" si="6">D29-C29</f>
        <v>0</v>
      </c>
      <c r="F29" s="16" t="e">
        <f t="shared" ref="F29" si="7">(E29/C29)</f>
        <v>#DIV/0!</v>
      </c>
    </row>
    <row r="30" spans="1:34" s="1" customFormat="1" ht="27.95" customHeight="1" x14ac:dyDescent="0.25">
      <c r="A30" s="14"/>
      <c r="B30" s="49" t="s">
        <v>12</v>
      </c>
      <c r="C30" s="14"/>
      <c r="D30" s="14"/>
      <c r="E30" s="11">
        <f>D30-C30</f>
        <v>0</v>
      </c>
      <c r="F30" s="12" t="e">
        <f>(E30/C30)</f>
        <v>#DIV/0!</v>
      </c>
    </row>
    <row r="31" spans="1:34" ht="27.95" customHeight="1" x14ac:dyDescent="0.25">
      <c r="A31" s="17"/>
      <c r="B31" s="50" t="s">
        <v>11</v>
      </c>
      <c r="C31" s="14"/>
      <c r="D31" s="14"/>
      <c r="E31" s="11">
        <f t="shared" ref="E31" si="8">D31-C31</f>
        <v>0</v>
      </c>
      <c r="F31" s="12" t="e">
        <f>(E31/C31)</f>
        <v>#DIV/0!</v>
      </c>
    </row>
    <row r="32" spans="1:34" ht="39.950000000000003" hidden="1" customHeight="1" x14ac:dyDescent="0.25">
      <c r="A32" s="39" t="s">
        <v>162</v>
      </c>
      <c r="B32" s="51"/>
      <c r="C32" s="27"/>
      <c r="D32" s="27"/>
      <c r="E32" s="28"/>
      <c r="F32" s="29"/>
    </row>
    <row r="33" spans="1:34" ht="153.75" customHeight="1" x14ac:dyDescent="0.25">
      <c r="A33" s="68" t="s">
        <v>166</v>
      </c>
      <c r="B33" s="79"/>
      <c r="C33" s="79"/>
      <c r="D33" s="79"/>
      <c r="E33" s="79"/>
      <c r="F33" s="79"/>
    </row>
    <row r="34" spans="1:34" s="63" customFormat="1" ht="35.25" customHeight="1" x14ac:dyDescent="0.25">
      <c r="A34" s="38"/>
      <c r="B34" s="52"/>
      <c r="C34" s="21"/>
      <c r="D34" s="21"/>
      <c r="E34" s="22"/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 ht="27.95" customHeight="1" x14ac:dyDescent="0.25">
      <c r="A35" s="80" t="s">
        <v>0</v>
      </c>
      <c r="B35" s="81"/>
      <c r="C35" s="81"/>
      <c r="D35" s="81"/>
      <c r="E35" s="81"/>
      <c r="F35" s="81"/>
    </row>
    <row r="36" spans="1:34" ht="45.75" customHeight="1" x14ac:dyDescent="0.25">
      <c r="A36" s="82" t="s">
        <v>161</v>
      </c>
      <c r="B36" s="83"/>
      <c r="C36" s="84"/>
      <c r="D36" s="84"/>
      <c r="E36" s="84"/>
      <c r="F36" s="85"/>
    </row>
    <row r="37" spans="1:34" s="67" customFormat="1" ht="27.95" customHeight="1" x14ac:dyDescent="0.3">
      <c r="A37" s="65"/>
      <c r="B37" s="61" t="s">
        <v>5</v>
      </c>
      <c r="C37" s="61" t="s">
        <v>4</v>
      </c>
      <c r="D37" s="42" t="s">
        <v>6</v>
      </c>
      <c r="E37" s="42" t="s">
        <v>1</v>
      </c>
      <c r="F37" s="42" t="s">
        <v>2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</row>
    <row r="38" spans="1:34" ht="27.95" customHeight="1" x14ac:dyDescent="0.25">
      <c r="A38" s="59" t="s">
        <v>72</v>
      </c>
      <c r="B38" s="60" t="s">
        <v>3</v>
      </c>
      <c r="C38" s="10"/>
      <c r="D38" s="10"/>
      <c r="E38" s="15">
        <f t="shared" ref="E38" si="9">D38-C38</f>
        <v>0</v>
      </c>
      <c r="F38" s="16" t="e">
        <f t="shared" ref="F38" si="10">(E38/C38)</f>
        <v>#DIV/0!</v>
      </c>
    </row>
    <row r="39" spans="1:34" ht="27.95" customHeight="1" x14ac:dyDescent="0.25">
      <c r="A39" s="32"/>
      <c r="B39" s="46" t="s">
        <v>13</v>
      </c>
      <c r="C39" s="33"/>
      <c r="D39" s="33"/>
      <c r="E39" s="15">
        <f t="shared" ref="E39:E53" si="11">D39-C39</f>
        <v>0</v>
      </c>
      <c r="F39" s="16" t="e">
        <f t="shared" ref="F39:F53" si="12">(E39/C39)</f>
        <v>#DIV/0!</v>
      </c>
    </row>
    <row r="40" spans="1:34" ht="27.95" customHeight="1" x14ac:dyDescent="0.25">
      <c r="A40" s="32"/>
      <c r="B40" s="46" t="s">
        <v>14</v>
      </c>
      <c r="C40" s="33"/>
      <c r="D40" s="33"/>
      <c r="E40" s="15">
        <f t="shared" si="11"/>
        <v>0</v>
      </c>
      <c r="F40" s="16" t="e">
        <f t="shared" si="12"/>
        <v>#DIV/0!</v>
      </c>
    </row>
    <row r="41" spans="1:34" ht="27.95" customHeight="1" x14ac:dyDescent="0.25">
      <c r="A41" s="32"/>
      <c r="B41" s="46" t="s">
        <v>15</v>
      </c>
      <c r="C41" s="33"/>
      <c r="D41" s="33"/>
      <c r="E41" s="15">
        <f t="shared" si="11"/>
        <v>0</v>
      </c>
      <c r="F41" s="16" t="e">
        <f t="shared" si="12"/>
        <v>#DIV/0!</v>
      </c>
    </row>
    <row r="42" spans="1:34" ht="27.95" customHeight="1" x14ac:dyDescent="0.25">
      <c r="A42" s="32"/>
      <c r="B42" s="46" t="s">
        <v>16</v>
      </c>
      <c r="C42" s="33"/>
      <c r="D42" s="33"/>
      <c r="E42" s="15">
        <f t="shared" si="11"/>
        <v>0</v>
      </c>
      <c r="F42" s="16" t="e">
        <f t="shared" si="12"/>
        <v>#DIV/0!</v>
      </c>
    </row>
    <row r="43" spans="1:34" ht="27.95" customHeight="1" x14ac:dyDescent="0.25">
      <c r="A43" s="32"/>
      <c r="B43" s="46" t="s">
        <v>17</v>
      </c>
      <c r="C43" s="33"/>
      <c r="D43" s="33"/>
      <c r="E43" s="15">
        <f t="shared" si="11"/>
        <v>0</v>
      </c>
      <c r="F43" s="16" t="e">
        <f t="shared" si="12"/>
        <v>#DIV/0!</v>
      </c>
    </row>
    <row r="44" spans="1:34" ht="27.95" customHeight="1" x14ac:dyDescent="0.25">
      <c r="A44" s="32"/>
      <c r="B44" s="46" t="s">
        <v>18</v>
      </c>
      <c r="C44" s="33"/>
      <c r="D44" s="33"/>
      <c r="E44" s="15">
        <f t="shared" si="11"/>
        <v>0</v>
      </c>
      <c r="F44" s="16" t="e">
        <f t="shared" si="12"/>
        <v>#DIV/0!</v>
      </c>
    </row>
    <row r="45" spans="1:34" ht="27.95" customHeight="1" x14ac:dyDescent="0.25">
      <c r="A45" s="32"/>
      <c r="B45" s="46" t="s">
        <v>19</v>
      </c>
      <c r="C45" s="33"/>
      <c r="D45" s="33"/>
      <c r="E45" s="15">
        <f t="shared" si="11"/>
        <v>0</v>
      </c>
      <c r="F45" s="16" t="e">
        <f t="shared" si="12"/>
        <v>#DIV/0!</v>
      </c>
    </row>
    <row r="46" spans="1:34" ht="27.95" customHeight="1" x14ac:dyDescent="0.25">
      <c r="A46" s="32"/>
      <c r="B46" s="46" t="s">
        <v>20</v>
      </c>
      <c r="C46" s="33"/>
      <c r="D46" s="33"/>
      <c r="E46" s="15">
        <f t="shared" si="11"/>
        <v>0</v>
      </c>
      <c r="F46" s="16" t="e">
        <f t="shared" si="12"/>
        <v>#DIV/0!</v>
      </c>
    </row>
    <row r="47" spans="1:34" ht="27.95" customHeight="1" x14ac:dyDescent="0.25">
      <c r="A47" s="32"/>
      <c r="B47" s="46" t="s">
        <v>21</v>
      </c>
      <c r="C47" s="33"/>
      <c r="D47" s="33"/>
      <c r="E47" s="15">
        <f t="shared" si="11"/>
        <v>0</v>
      </c>
      <c r="F47" s="16" t="e">
        <f t="shared" si="12"/>
        <v>#DIV/0!</v>
      </c>
    </row>
    <row r="48" spans="1:34" ht="27.95" customHeight="1" x14ac:dyDescent="0.25">
      <c r="A48" s="32"/>
      <c r="B48" s="46" t="s">
        <v>22</v>
      </c>
      <c r="C48" s="33"/>
      <c r="D48" s="33"/>
      <c r="E48" s="15">
        <f t="shared" si="11"/>
        <v>0</v>
      </c>
      <c r="F48" s="16" t="e">
        <f t="shared" si="12"/>
        <v>#DIV/0!</v>
      </c>
    </row>
    <row r="49" spans="1:6" ht="27.95" customHeight="1" x14ac:dyDescent="0.25">
      <c r="A49" s="32"/>
      <c r="B49" s="46" t="s">
        <v>23</v>
      </c>
      <c r="C49" s="33"/>
      <c r="D49" s="33"/>
      <c r="E49" s="15">
        <f t="shared" si="11"/>
        <v>0</v>
      </c>
      <c r="F49" s="16" t="e">
        <f t="shared" si="12"/>
        <v>#DIV/0!</v>
      </c>
    </row>
    <row r="50" spans="1:6" ht="27.95" customHeight="1" x14ac:dyDescent="0.25">
      <c r="A50" s="32"/>
      <c r="B50" s="46" t="s">
        <v>24</v>
      </c>
      <c r="C50" s="33"/>
      <c r="D50" s="33"/>
      <c r="E50" s="15">
        <f t="shared" si="11"/>
        <v>0</v>
      </c>
      <c r="F50" s="16" t="e">
        <f t="shared" si="12"/>
        <v>#DIV/0!</v>
      </c>
    </row>
    <row r="51" spans="1:6" s="24" customFormat="1" ht="27.95" customHeight="1" x14ac:dyDescent="0.25">
      <c r="A51" s="32"/>
      <c r="B51" s="46" t="s">
        <v>25</v>
      </c>
      <c r="C51" s="33"/>
      <c r="D51" s="33"/>
      <c r="E51" s="15">
        <f t="shared" si="11"/>
        <v>0</v>
      </c>
      <c r="F51" s="16" t="e">
        <f t="shared" si="12"/>
        <v>#DIV/0!</v>
      </c>
    </row>
    <row r="52" spans="1:6" s="1" customFormat="1" ht="27.95" customHeight="1" x14ac:dyDescent="0.25">
      <c r="A52" s="32"/>
      <c r="B52" s="46" t="s">
        <v>26</v>
      </c>
      <c r="C52" s="33"/>
      <c r="D52" s="33"/>
      <c r="E52" s="15">
        <f t="shared" si="11"/>
        <v>0</v>
      </c>
      <c r="F52" s="16" t="e">
        <f t="shared" si="12"/>
        <v>#DIV/0!</v>
      </c>
    </row>
    <row r="53" spans="1:6" s="1" customFormat="1" ht="33" customHeight="1" x14ac:dyDescent="0.25">
      <c r="A53" s="32"/>
      <c r="B53" s="46" t="s">
        <v>78</v>
      </c>
      <c r="C53" s="33"/>
      <c r="D53" s="33"/>
      <c r="E53" s="15">
        <f t="shared" si="11"/>
        <v>0</v>
      </c>
      <c r="F53" s="16" t="e">
        <f t="shared" si="12"/>
        <v>#DIV/0!</v>
      </c>
    </row>
    <row r="54" spans="1:6" s="1" customFormat="1" ht="27.95" hidden="1" customHeight="1" x14ac:dyDescent="0.25">
      <c r="A54" s="38" t="s">
        <v>162</v>
      </c>
      <c r="B54" s="52"/>
      <c r="C54" s="21"/>
      <c r="D54" s="21"/>
      <c r="E54" s="30"/>
      <c r="F54" s="31"/>
    </row>
    <row r="55" spans="1:6" s="1" customFormat="1" ht="149.25" customHeight="1" x14ac:dyDescent="0.25">
      <c r="A55" s="69" t="s">
        <v>167</v>
      </c>
      <c r="B55" s="70"/>
      <c r="C55" s="70"/>
      <c r="D55" s="70"/>
      <c r="E55" s="70"/>
      <c r="F55" s="71"/>
    </row>
    <row r="56" spans="1:6" s="1" customFormat="1" ht="27.95" customHeight="1" x14ac:dyDescent="0.25">
      <c r="A56" s="38"/>
      <c r="B56" s="52"/>
      <c r="C56" s="21"/>
      <c r="D56" s="21"/>
      <c r="E56" s="30"/>
      <c r="F56" s="31"/>
    </row>
    <row r="57" spans="1:6" ht="27.95" customHeight="1" x14ac:dyDescent="0.25">
      <c r="A57" s="80" t="s">
        <v>0</v>
      </c>
      <c r="B57" s="81"/>
      <c r="C57" s="81"/>
      <c r="D57" s="81"/>
      <c r="E57" s="81"/>
      <c r="F57" s="81"/>
    </row>
    <row r="58" spans="1:6" s="1" customFormat="1" ht="42.75" customHeight="1" x14ac:dyDescent="0.25">
      <c r="A58" s="73" t="s">
        <v>93</v>
      </c>
      <c r="B58" s="86"/>
      <c r="C58" s="76"/>
      <c r="D58" s="76"/>
      <c r="E58" s="76"/>
      <c r="F58" s="76"/>
    </row>
    <row r="59" spans="1:6" s="56" customFormat="1" ht="27.95" customHeight="1" x14ac:dyDescent="0.3">
      <c r="A59" s="65"/>
      <c r="B59" s="61" t="s">
        <v>5</v>
      </c>
      <c r="C59" s="61" t="s">
        <v>4</v>
      </c>
      <c r="D59" s="42" t="s">
        <v>6</v>
      </c>
      <c r="E59" s="42" t="s">
        <v>1</v>
      </c>
      <c r="F59" s="42" t="s">
        <v>2</v>
      </c>
    </row>
    <row r="60" spans="1:6" s="1" customFormat="1" ht="27.95" customHeight="1" x14ac:dyDescent="0.25">
      <c r="A60" s="59" t="s">
        <v>72</v>
      </c>
      <c r="B60" s="60" t="s">
        <v>3</v>
      </c>
      <c r="C60" s="10"/>
      <c r="D60" s="10"/>
      <c r="E60" s="15">
        <f t="shared" ref="E60" si="13">D60-C60</f>
        <v>0</v>
      </c>
      <c r="F60" s="16" t="e">
        <f t="shared" ref="F60" si="14">(E60/C60)</f>
        <v>#DIV/0!</v>
      </c>
    </row>
    <row r="61" spans="1:6" s="1" customFormat="1" ht="27.95" customHeight="1" x14ac:dyDescent="0.25">
      <c r="A61" s="32"/>
      <c r="B61" s="46" t="s">
        <v>27</v>
      </c>
      <c r="C61" s="33"/>
      <c r="D61" s="33"/>
      <c r="E61" s="15">
        <f t="shared" ref="E61" si="15">D61-C61</f>
        <v>0</v>
      </c>
      <c r="F61" s="16" t="e">
        <f t="shared" ref="F61" si="16">(E61/C61)</f>
        <v>#DIV/0!</v>
      </c>
    </row>
    <row r="62" spans="1:6" s="1" customFormat="1" ht="27.95" customHeight="1" x14ac:dyDescent="0.25">
      <c r="A62" s="32"/>
      <c r="B62" s="46" t="s">
        <v>28</v>
      </c>
      <c r="C62" s="33"/>
      <c r="D62" s="33"/>
      <c r="E62" s="15">
        <f t="shared" ref="E62:E70" si="17">D62-C62</f>
        <v>0</v>
      </c>
      <c r="F62" s="16" t="e">
        <f t="shared" ref="F62:F70" si="18">(E62/C62)</f>
        <v>#DIV/0!</v>
      </c>
    </row>
    <row r="63" spans="1:6" s="1" customFormat="1" ht="27.95" customHeight="1" x14ac:dyDescent="0.25">
      <c r="A63" s="32"/>
      <c r="B63" s="46" t="s">
        <v>29</v>
      </c>
      <c r="C63" s="33"/>
      <c r="D63" s="33"/>
      <c r="E63" s="15">
        <f t="shared" si="17"/>
        <v>0</v>
      </c>
      <c r="F63" s="16" t="e">
        <f t="shared" si="18"/>
        <v>#DIV/0!</v>
      </c>
    </row>
    <row r="64" spans="1:6" s="1" customFormat="1" ht="27.95" customHeight="1" x14ac:dyDescent="0.25">
      <c r="A64" s="32"/>
      <c r="B64" s="46" t="s">
        <v>82</v>
      </c>
      <c r="C64" s="33"/>
      <c r="D64" s="33"/>
      <c r="E64" s="15">
        <f t="shared" si="17"/>
        <v>0</v>
      </c>
      <c r="F64" s="16" t="e">
        <f t="shared" si="18"/>
        <v>#DIV/0!</v>
      </c>
    </row>
    <row r="65" spans="1:6" s="1" customFormat="1" ht="27.95" customHeight="1" x14ac:dyDescent="0.25">
      <c r="A65" s="32"/>
      <c r="B65" s="46" t="s">
        <v>30</v>
      </c>
      <c r="C65" s="33"/>
      <c r="D65" s="33"/>
      <c r="E65" s="15">
        <f t="shared" si="17"/>
        <v>0</v>
      </c>
      <c r="F65" s="16" t="e">
        <f t="shared" si="18"/>
        <v>#DIV/0!</v>
      </c>
    </row>
    <row r="66" spans="1:6" s="1" customFormat="1" ht="27.95" customHeight="1" x14ac:dyDescent="0.25">
      <c r="A66" s="32"/>
      <c r="B66" s="46" t="s">
        <v>31</v>
      </c>
      <c r="C66" s="33"/>
      <c r="D66" s="33"/>
      <c r="E66" s="15">
        <f t="shared" si="17"/>
        <v>0</v>
      </c>
      <c r="F66" s="16" t="e">
        <f t="shared" si="18"/>
        <v>#DIV/0!</v>
      </c>
    </row>
    <row r="67" spans="1:6" s="1" customFormat="1" ht="27.95" customHeight="1" x14ac:dyDescent="0.25">
      <c r="A67" s="32"/>
      <c r="B67" s="46" t="s">
        <v>32</v>
      </c>
      <c r="C67" s="33"/>
      <c r="D67" s="33"/>
      <c r="E67" s="15">
        <f t="shared" si="17"/>
        <v>0</v>
      </c>
      <c r="F67" s="16" t="e">
        <f t="shared" si="18"/>
        <v>#DIV/0!</v>
      </c>
    </row>
    <row r="68" spans="1:6" s="1" customFormat="1" ht="27.95" customHeight="1" x14ac:dyDescent="0.25">
      <c r="A68" s="32"/>
      <c r="B68" s="46" t="s">
        <v>33</v>
      </c>
      <c r="C68" s="33"/>
      <c r="D68" s="33"/>
      <c r="E68" s="15">
        <f t="shared" si="17"/>
        <v>0</v>
      </c>
      <c r="F68" s="16" t="e">
        <f t="shared" si="18"/>
        <v>#DIV/0!</v>
      </c>
    </row>
    <row r="69" spans="1:6" s="1" customFormat="1" ht="27.95" customHeight="1" x14ac:dyDescent="0.25">
      <c r="A69" s="32"/>
      <c r="B69" s="46" t="s">
        <v>34</v>
      </c>
      <c r="C69" s="33"/>
      <c r="D69" s="33"/>
      <c r="E69" s="15">
        <f t="shared" si="17"/>
        <v>0</v>
      </c>
      <c r="F69" s="16" t="e">
        <f t="shared" si="18"/>
        <v>#DIV/0!</v>
      </c>
    </row>
    <row r="70" spans="1:6" s="1" customFormat="1" ht="27.95" customHeight="1" x14ac:dyDescent="0.25">
      <c r="A70" s="32"/>
      <c r="B70" s="46" t="s">
        <v>35</v>
      </c>
      <c r="C70" s="33"/>
      <c r="D70" s="33"/>
      <c r="E70" s="15">
        <f t="shared" si="17"/>
        <v>0</v>
      </c>
      <c r="F70" s="16" t="e">
        <f t="shared" si="18"/>
        <v>#DIV/0!</v>
      </c>
    </row>
    <row r="71" spans="1:6" s="1" customFormat="1" ht="27.95" customHeight="1" x14ac:dyDescent="0.25">
      <c r="A71" s="32"/>
      <c r="B71" s="46" t="s">
        <v>36</v>
      </c>
      <c r="C71" s="33"/>
      <c r="D71" s="33"/>
      <c r="E71" s="15">
        <f t="shared" ref="E71:E78" si="19">D71-C71</f>
        <v>0</v>
      </c>
      <c r="F71" s="16" t="e">
        <f t="shared" ref="F71:F78" si="20">(E71/C71)</f>
        <v>#DIV/0!</v>
      </c>
    </row>
    <row r="72" spans="1:6" s="1" customFormat="1" ht="27.95" customHeight="1" x14ac:dyDescent="0.25">
      <c r="A72" s="32"/>
      <c r="B72" s="46" t="s">
        <v>37</v>
      </c>
      <c r="C72" s="33"/>
      <c r="D72" s="33"/>
      <c r="E72" s="15">
        <f t="shared" si="19"/>
        <v>0</v>
      </c>
      <c r="F72" s="16" t="e">
        <f t="shared" si="20"/>
        <v>#DIV/0!</v>
      </c>
    </row>
    <row r="73" spans="1:6" s="1" customFormat="1" ht="27.95" customHeight="1" x14ac:dyDescent="0.25">
      <c r="A73" s="32"/>
      <c r="B73" s="46" t="s">
        <v>38</v>
      </c>
      <c r="C73" s="33"/>
      <c r="D73" s="33"/>
      <c r="E73" s="15">
        <f t="shared" si="19"/>
        <v>0</v>
      </c>
      <c r="F73" s="16" t="e">
        <f t="shared" si="20"/>
        <v>#DIV/0!</v>
      </c>
    </row>
    <row r="74" spans="1:6" s="1" customFormat="1" ht="27.95" customHeight="1" x14ac:dyDescent="0.25">
      <c r="A74" s="32"/>
      <c r="B74" s="46" t="s">
        <v>39</v>
      </c>
      <c r="C74" s="33"/>
      <c r="D74" s="33"/>
      <c r="E74" s="15">
        <f t="shared" si="19"/>
        <v>0</v>
      </c>
      <c r="F74" s="16" t="e">
        <f t="shared" si="20"/>
        <v>#DIV/0!</v>
      </c>
    </row>
    <row r="75" spans="1:6" s="1" customFormat="1" ht="27.95" customHeight="1" x14ac:dyDescent="0.25">
      <c r="A75" s="32"/>
      <c r="B75" s="46" t="s">
        <v>40</v>
      </c>
      <c r="C75" s="33"/>
      <c r="D75" s="33"/>
      <c r="E75" s="15">
        <f t="shared" si="19"/>
        <v>0</v>
      </c>
      <c r="F75" s="16" t="e">
        <f t="shared" si="20"/>
        <v>#DIV/0!</v>
      </c>
    </row>
    <row r="76" spans="1:6" s="24" customFormat="1" ht="27.95" customHeight="1" x14ac:dyDescent="0.25">
      <c r="A76" s="32"/>
      <c r="B76" s="46" t="s">
        <v>41</v>
      </c>
      <c r="C76" s="33"/>
      <c r="D76" s="33"/>
      <c r="E76" s="15">
        <f t="shared" si="19"/>
        <v>0</v>
      </c>
      <c r="F76" s="16" t="e">
        <f t="shared" si="20"/>
        <v>#DIV/0!</v>
      </c>
    </row>
    <row r="77" spans="1:6" s="2" customFormat="1" ht="27.95" customHeight="1" x14ac:dyDescent="0.25">
      <c r="A77" s="32"/>
      <c r="B77" s="46" t="s">
        <v>42</v>
      </c>
      <c r="C77" s="33"/>
      <c r="D77" s="33"/>
      <c r="E77" s="15">
        <f t="shared" si="19"/>
        <v>0</v>
      </c>
      <c r="F77" s="16" t="e">
        <f t="shared" si="20"/>
        <v>#DIV/0!</v>
      </c>
    </row>
    <row r="78" spans="1:6" s="2" customFormat="1" ht="27.95" customHeight="1" x14ac:dyDescent="0.25">
      <c r="A78" s="32"/>
      <c r="B78" s="46" t="s">
        <v>84</v>
      </c>
      <c r="C78" s="33"/>
      <c r="D78" s="33"/>
      <c r="E78" s="15">
        <f t="shared" si="19"/>
        <v>0</v>
      </c>
      <c r="F78" s="16" t="e">
        <f t="shared" si="20"/>
        <v>#DIV/0!</v>
      </c>
    </row>
    <row r="79" spans="1:6" s="1" customFormat="1" ht="27.95" hidden="1" customHeight="1" x14ac:dyDescent="0.25">
      <c r="A79" s="38" t="s">
        <v>162</v>
      </c>
      <c r="B79" s="53"/>
      <c r="C79" s="21"/>
      <c r="D79" s="21"/>
      <c r="E79" s="30"/>
      <c r="F79" s="31"/>
    </row>
    <row r="80" spans="1:6" s="1" customFormat="1" ht="152.25" customHeight="1" x14ac:dyDescent="0.25">
      <c r="A80" s="69" t="s">
        <v>168</v>
      </c>
      <c r="B80" s="70"/>
      <c r="C80" s="70"/>
      <c r="D80" s="70"/>
      <c r="E80" s="70"/>
      <c r="F80" s="71"/>
    </row>
    <row r="81" spans="1:6" s="1" customFormat="1" ht="27.95" customHeight="1" x14ac:dyDescent="0.25">
      <c r="A81" s="38"/>
      <c r="B81" s="53"/>
      <c r="C81" s="21"/>
      <c r="D81" s="21"/>
      <c r="E81" s="30"/>
      <c r="F81" s="31"/>
    </row>
    <row r="82" spans="1:6" s="1" customFormat="1" ht="27.95" customHeight="1" x14ac:dyDescent="0.25">
      <c r="A82" s="87" t="s">
        <v>0</v>
      </c>
      <c r="B82" s="88"/>
      <c r="C82" s="88"/>
      <c r="D82" s="88"/>
      <c r="E82" s="88"/>
      <c r="F82" s="89"/>
    </row>
    <row r="83" spans="1:6" s="1" customFormat="1" ht="45.75" customHeight="1" x14ac:dyDescent="0.25">
      <c r="A83" s="73" t="s">
        <v>94</v>
      </c>
      <c r="B83" s="74"/>
      <c r="C83" s="75"/>
      <c r="D83" s="75"/>
      <c r="E83" s="75"/>
      <c r="F83" s="75"/>
    </row>
    <row r="84" spans="1:6" s="56" customFormat="1" ht="27.95" customHeight="1" x14ac:dyDescent="0.3">
      <c r="A84" s="65"/>
      <c r="B84" s="61" t="s">
        <v>5</v>
      </c>
      <c r="C84" s="61" t="s">
        <v>4</v>
      </c>
      <c r="D84" s="42" t="s">
        <v>6</v>
      </c>
      <c r="E84" s="42" t="s">
        <v>1</v>
      </c>
      <c r="F84" s="42" t="s">
        <v>2</v>
      </c>
    </row>
    <row r="85" spans="1:6" s="1" customFormat="1" ht="27.95" customHeight="1" x14ac:dyDescent="0.25">
      <c r="A85" s="59" t="s">
        <v>72</v>
      </c>
      <c r="B85" s="60" t="s">
        <v>3</v>
      </c>
      <c r="C85" s="10"/>
      <c r="D85" s="10"/>
      <c r="E85" s="15">
        <f t="shared" ref="E85" si="21">D85-C85</f>
        <v>0</v>
      </c>
      <c r="F85" s="16" t="e">
        <f t="shared" ref="F85" si="22">(E85/C85)</f>
        <v>#DIV/0!</v>
      </c>
    </row>
    <row r="86" spans="1:6" s="1" customFormat="1" ht="27.95" customHeight="1" x14ac:dyDescent="0.25">
      <c r="A86" s="17"/>
      <c r="B86" s="46" t="s">
        <v>85</v>
      </c>
      <c r="C86" s="14"/>
      <c r="D86" s="14"/>
      <c r="E86" s="15">
        <f t="shared" ref="E86" si="23">D86-C86</f>
        <v>0</v>
      </c>
      <c r="F86" s="16" t="e">
        <f t="shared" ref="F86" si="24">(E86/C86)</f>
        <v>#DIV/0!</v>
      </c>
    </row>
    <row r="87" spans="1:6" s="1" customFormat="1" ht="27.95" customHeight="1" x14ac:dyDescent="0.25">
      <c r="A87" s="17"/>
      <c r="B87" s="46" t="s">
        <v>83</v>
      </c>
      <c r="C87" s="14"/>
      <c r="D87" s="14"/>
      <c r="E87" s="15">
        <f t="shared" ref="E87:E98" si="25">D87-C87</f>
        <v>0</v>
      </c>
      <c r="F87" s="16" t="e">
        <f t="shared" ref="F87:F98" si="26">(E87/C87)</f>
        <v>#DIV/0!</v>
      </c>
    </row>
    <row r="88" spans="1:6" s="1" customFormat="1" ht="27.95" customHeight="1" x14ac:dyDescent="0.25">
      <c r="A88" s="17"/>
      <c r="B88" s="46" t="s">
        <v>43</v>
      </c>
      <c r="C88" s="14"/>
      <c r="D88" s="14"/>
      <c r="E88" s="15">
        <f t="shared" si="25"/>
        <v>0</v>
      </c>
      <c r="F88" s="16" t="e">
        <f t="shared" si="26"/>
        <v>#DIV/0!</v>
      </c>
    </row>
    <row r="89" spans="1:6" s="1" customFormat="1" ht="27.95" customHeight="1" x14ac:dyDescent="0.25">
      <c r="A89" s="17"/>
      <c r="B89" s="46" t="s">
        <v>44</v>
      </c>
      <c r="C89" s="14"/>
      <c r="D89" s="14"/>
      <c r="E89" s="15">
        <f t="shared" si="25"/>
        <v>0</v>
      </c>
      <c r="F89" s="16" t="e">
        <f t="shared" si="26"/>
        <v>#DIV/0!</v>
      </c>
    </row>
    <row r="90" spans="1:6" s="1" customFormat="1" ht="27.95" customHeight="1" x14ac:dyDescent="0.25">
      <c r="A90" s="17"/>
      <c r="B90" s="46" t="s">
        <v>45</v>
      </c>
      <c r="C90" s="14"/>
      <c r="D90" s="14"/>
      <c r="E90" s="15">
        <f t="shared" si="25"/>
        <v>0</v>
      </c>
      <c r="F90" s="16" t="e">
        <f t="shared" si="26"/>
        <v>#DIV/0!</v>
      </c>
    </row>
    <row r="91" spans="1:6" s="1" customFormat="1" ht="27.95" customHeight="1" x14ac:dyDescent="0.25">
      <c r="A91" s="17"/>
      <c r="B91" s="46" t="s">
        <v>46</v>
      </c>
      <c r="C91" s="14"/>
      <c r="D91" s="14"/>
      <c r="E91" s="15">
        <f t="shared" si="25"/>
        <v>0</v>
      </c>
      <c r="F91" s="16" t="e">
        <f t="shared" si="26"/>
        <v>#DIV/0!</v>
      </c>
    </row>
    <row r="92" spans="1:6" s="1" customFormat="1" ht="27.95" customHeight="1" x14ac:dyDescent="0.25">
      <c r="A92" s="17"/>
      <c r="B92" s="46" t="s">
        <v>47</v>
      </c>
      <c r="C92" s="14"/>
      <c r="D92" s="14"/>
      <c r="E92" s="15">
        <f t="shared" si="25"/>
        <v>0</v>
      </c>
      <c r="F92" s="16" t="e">
        <f t="shared" si="26"/>
        <v>#DIV/0!</v>
      </c>
    </row>
    <row r="93" spans="1:6" s="1" customFormat="1" ht="27.95" customHeight="1" x14ac:dyDescent="0.25">
      <c r="A93" s="17"/>
      <c r="B93" s="46" t="s">
        <v>48</v>
      </c>
      <c r="C93" s="14"/>
      <c r="D93" s="14"/>
      <c r="E93" s="15">
        <f t="shared" si="25"/>
        <v>0</v>
      </c>
      <c r="F93" s="16" t="e">
        <f t="shared" si="26"/>
        <v>#DIV/0!</v>
      </c>
    </row>
    <row r="94" spans="1:6" s="1" customFormat="1" ht="27.95" customHeight="1" x14ac:dyDescent="0.25">
      <c r="A94" s="17"/>
      <c r="B94" s="46" t="s">
        <v>49</v>
      </c>
      <c r="C94" s="14"/>
      <c r="D94" s="14"/>
      <c r="E94" s="15">
        <f t="shared" si="25"/>
        <v>0</v>
      </c>
      <c r="F94" s="16" t="e">
        <f t="shared" si="26"/>
        <v>#DIV/0!</v>
      </c>
    </row>
    <row r="95" spans="1:6" s="1" customFormat="1" ht="27.95" customHeight="1" x14ac:dyDescent="0.25">
      <c r="A95" s="17"/>
      <c r="B95" s="46" t="s">
        <v>50</v>
      </c>
      <c r="C95" s="14"/>
      <c r="D95" s="14"/>
      <c r="E95" s="15">
        <f t="shared" si="25"/>
        <v>0</v>
      </c>
      <c r="F95" s="16" t="e">
        <f t="shared" si="26"/>
        <v>#DIV/0!</v>
      </c>
    </row>
    <row r="96" spans="1:6" s="24" customFormat="1" ht="27.95" customHeight="1" x14ac:dyDescent="0.25">
      <c r="A96" s="17"/>
      <c r="B96" s="46" t="s">
        <v>79</v>
      </c>
      <c r="C96" s="14"/>
      <c r="D96" s="14"/>
      <c r="E96" s="15">
        <f t="shared" si="25"/>
        <v>0</v>
      </c>
      <c r="F96" s="16" t="e">
        <f t="shared" si="26"/>
        <v>#DIV/0!</v>
      </c>
    </row>
    <row r="97" spans="1:34" s="3" customFormat="1" ht="27.95" customHeight="1" x14ac:dyDescent="0.25">
      <c r="A97" s="17"/>
      <c r="B97" s="46" t="s">
        <v>80</v>
      </c>
      <c r="C97" s="14"/>
      <c r="D97" s="14"/>
      <c r="E97" s="15">
        <f t="shared" si="25"/>
        <v>0</v>
      </c>
      <c r="F97" s="16" t="e">
        <f t="shared" si="26"/>
        <v>#DIV/0!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39.950000000000003" customHeight="1" x14ac:dyDescent="0.25">
      <c r="A98" s="17"/>
      <c r="B98" s="46" t="s">
        <v>51</v>
      </c>
      <c r="C98" s="14"/>
      <c r="D98" s="14"/>
      <c r="E98" s="15">
        <f t="shared" si="25"/>
        <v>0</v>
      </c>
      <c r="F98" s="16" t="e">
        <f t="shared" si="26"/>
        <v>#DIV/0!</v>
      </c>
    </row>
    <row r="99" spans="1:34" ht="27.95" customHeight="1" x14ac:dyDescent="0.25">
      <c r="A99" s="17"/>
      <c r="B99" s="46" t="s">
        <v>52</v>
      </c>
      <c r="C99" s="14"/>
      <c r="D99" s="14"/>
      <c r="E99" s="15">
        <f t="shared" ref="E99" si="27">D99-C99</f>
        <v>0</v>
      </c>
      <c r="F99" s="16" t="e">
        <f t="shared" ref="F99" si="28">(E99/C99)</f>
        <v>#DIV/0!</v>
      </c>
    </row>
    <row r="100" spans="1:34" ht="27.95" hidden="1" customHeight="1" x14ac:dyDescent="0.25">
      <c r="A100" s="38" t="s">
        <v>162</v>
      </c>
      <c r="B100" s="53"/>
      <c r="C100" s="21"/>
      <c r="D100" s="21"/>
      <c r="E100" s="30"/>
      <c r="F100" s="31"/>
    </row>
    <row r="101" spans="1:34" ht="161.25" customHeight="1" x14ac:dyDescent="0.25">
      <c r="A101" s="69" t="s">
        <v>169</v>
      </c>
      <c r="B101" s="70"/>
      <c r="C101" s="70"/>
      <c r="D101" s="70"/>
      <c r="E101" s="70"/>
      <c r="F101" s="71"/>
    </row>
    <row r="102" spans="1:34" ht="27.95" customHeight="1" x14ac:dyDescent="0.25">
      <c r="A102" s="38"/>
      <c r="B102" s="53"/>
      <c r="C102" s="21"/>
      <c r="D102" s="21"/>
      <c r="E102" s="30"/>
      <c r="F102" s="31"/>
    </row>
    <row r="103" spans="1:34" ht="27.95" customHeight="1" x14ac:dyDescent="0.25">
      <c r="A103" s="76" t="s">
        <v>0</v>
      </c>
      <c r="B103" s="76"/>
      <c r="C103" s="76"/>
      <c r="D103" s="76"/>
      <c r="E103" s="76"/>
      <c r="F103" s="76"/>
    </row>
    <row r="104" spans="1:34" ht="45.75" customHeight="1" x14ac:dyDescent="0.25">
      <c r="A104" s="73" t="s">
        <v>107</v>
      </c>
      <c r="B104" s="74"/>
      <c r="C104" s="75"/>
      <c r="D104" s="75"/>
      <c r="E104" s="75"/>
      <c r="F104" s="75"/>
    </row>
    <row r="105" spans="1:34" s="57" customFormat="1" ht="27.95" customHeight="1" x14ac:dyDescent="0.3">
      <c r="A105" s="65"/>
      <c r="B105" s="61" t="s">
        <v>5</v>
      </c>
      <c r="C105" s="61" t="s">
        <v>4</v>
      </c>
      <c r="D105" s="42" t="s">
        <v>6</v>
      </c>
      <c r="E105" s="42" t="s">
        <v>1</v>
      </c>
      <c r="F105" s="42" t="s">
        <v>2</v>
      </c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</row>
    <row r="106" spans="1:34" ht="27.95" customHeight="1" x14ac:dyDescent="0.25">
      <c r="A106" s="59" t="s">
        <v>72</v>
      </c>
      <c r="B106" s="60" t="s">
        <v>3</v>
      </c>
      <c r="C106" s="10"/>
      <c r="D106" s="10"/>
      <c r="E106" s="15">
        <f t="shared" ref="E106:E107" si="29">D106-C106</f>
        <v>0</v>
      </c>
      <c r="F106" s="16" t="e">
        <f t="shared" ref="F106:F107" si="30">(E106/C106)</f>
        <v>#DIV/0!</v>
      </c>
    </row>
    <row r="107" spans="1:34" ht="27.95" customHeight="1" x14ac:dyDescent="0.25">
      <c r="A107" s="17"/>
      <c r="B107" s="46" t="s">
        <v>95</v>
      </c>
      <c r="C107" s="14"/>
      <c r="D107" s="14"/>
      <c r="E107" s="15">
        <f t="shared" si="29"/>
        <v>0</v>
      </c>
      <c r="F107" s="16" t="e">
        <f t="shared" si="30"/>
        <v>#DIV/0!</v>
      </c>
    </row>
    <row r="108" spans="1:34" ht="27.95" customHeight="1" x14ac:dyDescent="0.25">
      <c r="A108" s="34"/>
      <c r="B108" s="46" t="s">
        <v>96</v>
      </c>
      <c r="C108" s="14"/>
      <c r="D108" s="14"/>
      <c r="E108" s="15">
        <f t="shared" ref="E108:E118" si="31">D108-C108</f>
        <v>0</v>
      </c>
      <c r="F108" s="16" t="e">
        <f t="shared" ref="F108:F118" si="32">(E108/C108)</f>
        <v>#DIV/0!</v>
      </c>
    </row>
    <row r="109" spans="1:34" ht="27.95" customHeight="1" x14ac:dyDescent="0.25">
      <c r="A109" s="34"/>
      <c r="B109" s="46" t="s">
        <v>97</v>
      </c>
      <c r="C109" s="14"/>
      <c r="D109" s="14"/>
      <c r="E109" s="15">
        <f t="shared" si="31"/>
        <v>0</v>
      </c>
      <c r="F109" s="16" t="e">
        <f t="shared" si="32"/>
        <v>#DIV/0!</v>
      </c>
    </row>
    <row r="110" spans="1:34" ht="27.95" customHeight="1" x14ac:dyDescent="0.25">
      <c r="A110" s="34"/>
      <c r="B110" s="46" t="s">
        <v>98</v>
      </c>
      <c r="C110" s="14"/>
      <c r="D110" s="14"/>
      <c r="E110" s="15">
        <f t="shared" si="31"/>
        <v>0</v>
      </c>
      <c r="F110" s="16" t="e">
        <f t="shared" si="32"/>
        <v>#DIV/0!</v>
      </c>
    </row>
    <row r="111" spans="1:34" ht="27.95" customHeight="1" x14ac:dyDescent="0.25">
      <c r="A111" s="34"/>
      <c r="B111" s="46" t="s">
        <v>99</v>
      </c>
      <c r="C111" s="14"/>
      <c r="D111" s="14"/>
      <c r="E111" s="15">
        <f t="shared" si="31"/>
        <v>0</v>
      </c>
      <c r="F111" s="16" t="e">
        <f t="shared" si="32"/>
        <v>#DIV/0!</v>
      </c>
    </row>
    <row r="112" spans="1:34" ht="27.95" customHeight="1" x14ac:dyDescent="0.25">
      <c r="A112" s="34"/>
      <c r="B112" s="46" t="s">
        <v>100</v>
      </c>
      <c r="C112" s="14"/>
      <c r="D112" s="14"/>
      <c r="E112" s="15">
        <f t="shared" si="31"/>
        <v>0</v>
      </c>
      <c r="F112" s="16" t="e">
        <f t="shared" si="32"/>
        <v>#DIV/0!</v>
      </c>
    </row>
    <row r="113" spans="1:34" ht="27.95" customHeight="1" x14ac:dyDescent="0.25">
      <c r="A113" s="34"/>
      <c r="B113" s="46" t="s">
        <v>101</v>
      </c>
      <c r="C113" s="14"/>
      <c r="D113" s="14"/>
      <c r="E113" s="15">
        <f t="shared" si="31"/>
        <v>0</v>
      </c>
      <c r="F113" s="16" t="e">
        <f t="shared" si="32"/>
        <v>#DIV/0!</v>
      </c>
    </row>
    <row r="114" spans="1:34" s="24" customFormat="1" ht="27.95" customHeight="1" x14ac:dyDescent="0.25">
      <c r="A114" s="34"/>
      <c r="B114" s="46" t="s">
        <v>102</v>
      </c>
      <c r="C114" s="14"/>
      <c r="D114" s="14"/>
      <c r="E114" s="15">
        <f t="shared" si="31"/>
        <v>0</v>
      </c>
      <c r="F114" s="16" t="e">
        <f t="shared" si="32"/>
        <v>#DIV/0!</v>
      </c>
    </row>
    <row r="115" spans="1:34" s="3" customFormat="1" ht="27.95" customHeight="1" x14ac:dyDescent="0.25">
      <c r="A115" s="34"/>
      <c r="B115" s="46" t="s">
        <v>103</v>
      </c>
      <c r="C115" s="14"/>
      <c r="D115" s="14"/>
      <c r="E115" s="15">
        <f t="shared" si="31"/>
        <v>0</v>
      </c>
      <c r="F115" s="16" t="e">
        <f t="shared" si="32"/>
        <v>#DIV/0!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39.950000000000003" customHeight="1" x14ac:dyDescent="0.25">
      <c r="A116" s="34"/>
      <c r="B116" s="46" t="s">
        <v>104</v>
      </c>
      <c r="C116" s="14"/>
      <c r="D116" s="14"/>
      <c r="E116" s="15">
        <f t="shared" si="31"/>
        <v>0</v>
      </c>
      <c r="F116" s="16" t="e">
        <f t="shared" si="32"/>
        <v>#DIV/0!</v>
      </c>
    </row>
    <row r="117" spans="1:34" ht="27.95" customHeight="1" x14ac:dyDescent="0.25">
      <c r="A117" s="34"/>
      <c r="B117" s="46" t="s">
        <v>105</v>
      </c>
      <c r="C117" s="14"/>
      <c r="D117" s="14"/>
      <c r="E117" s="15">
        <f t="shared" si="31"/>
        <v>0</v>
      </c>
      <c r="F117" s="16" t="e">
        <f t="shared" si="32"/>
        <v>#DIV/0!</v>
      </c>
    </row>
    <row r="118" spans="1:34" ht="27.95" customHeight="1" x14ac:dyDescent="0.25">
      <c r="A118" s="34"/>
      <c r="B118" s="46" t="s">
        <v>106</v>
      </c>
      <c r="C118" s="14"/>
      <c r="D118" s="14"/>
      <c r="E118" s="15">
        <f t="shared" si="31"/>
        <v>0</v>
      </c>
      <c r="F118" s="16" t="e">
        <f t="shared" si="32"/>
        <v>#DIV/0!</v>
      </c>
    </row>
    <row r="119" spans="1:34" ht="27.95" hidden="1" customHeight="1" x14ac:dyDescent="0.3">
      <c r="A119" s="36" t="s">
        <v>162</v>
      </c>
      <c r="B119" s="54"/>
      <c r="C119" s="24"/>
      <c r="D119" s="24"/>
      <c r="E119" s="24"/>
      <c r="F119" s="24"/>
    </row>
    <row r="120" spans="1:34" ht="133.5" customHeight="1" x14ac:dyDescent="0.25">
      <c r="A120" s="69" t="s">
        <v>170</v>
      </c>
      <c r="B120" s="70"/>
      <c r="C120" s="70"/>
      <c r="D120" s="70"/>
      <c r="E120" s="70"/>
      <c r="F120" s="71"/>
    </row>
    <row r="121" spans="1:34" ht="27.95" customHeight="1" x14ac:dyDescent="0.3">
      <c r="A121" s="36"/>
      <c r="B121" s="54"/>
      <c r="C121" s="24"/>
      <c r="D121" s="24"/>
      <c r="E121" s="24"/>
      <c r="F121" s="24"/>
    </row>
    <row r="122" spans="1:34" ht="27.95" customHeight="1" x14ac:dyDescent="0.25">
      <c r="A122" s="76" t="s">
        <v>0</v>
      </c>
      <c r="B122" s="76"/>
      <c r="C122" s="76"/>
      <c r="D122" s="76"/>
      <c r="E122" s="76"/>
      <c r="F122" s="76"/>
    </row>
    <row r="123" spans="1:34" ht="47.25" customHeight="1" x14ac:dyDescent="0.25">
      <c r="A123" s="73" t="s">
        <v>116</v>
      </c>
      <c r="B123" s="74"/>
      <c r="C123" s="75"/>
      <c r="D123" s="75"/>
      <c r="E123" s="75"/>
      <c r="F123" s="75"/>
    </row>
    <row r="124" spans="1:34" s="57" customFormat="1" ht="27.95" customHeight="1" x14ac:dyDescent="0.3">
      <c r="A124" s="65"/>
      <c r="B124" s="61" t="s">
        <v>5</v>
      </c>
      <c r="C124" s="61" t="s">
        <v>4</v>
      </c>
      <c r="D124" s="42" t="s">
        <v>6</v>
      </c>
      <c r="E124" s="42" t="s">
        <v>1</v>
      </c>
      <c r="F124" s="42" t="s">
        <v>2</v>
      </c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</row>
    <row r="125" spans="1:34" ht="27.95" customHeight="1" x14ac:dyDescent="0.25">
      <c r="A125" s="59" t="s">
        <v>72</v>
      </c>
      <c r="B125" s="60" t="s">
        <v>3</v>
      </c>
      <c r="C125" s="10"/>
      <c r="D125" s="10"/>
      <c r="E125" s="15">
        <f t="shared" ref="E125:E126" si="33">D125-C125</f>
        <v>0</v>
      </c>
      <c r="F125" s="16" t="e">
        <f t="shared" ref="F125:F126" si="34">(E125/C125)</f>
        <v>#DIV/0!</v>
      </c>
    </row>
    <row r="126" spans="1:34" ht="27.95" customHeight="1" x14ac:dyDescent="0.25">
      <c r="A126" s="17"/>
      <c r="B126" s="46" t="s">
        <v>108</v>
      </c>
      <c r="C126" s="14"/>
      <c r="D126" s="14"/>
      <c r="E126" s="15">
        <f t="shared" si="33"/>
        <v>0</v>
      </c>
      <c r="F126" s="16" t="e">
        <f t="shared" si="34"/>
        <v>#DIV/0!</v>
      </c>
    </row>
    <row r="127" spans="1:34" ht="27.95" customHeight="1" x14ac:dyDescent="0.25">
      <c r="A127" s="34"/>
      <c r="B127" s="46" t="s">
        <v>109</v>
      </c>
      <c r="C127" s="14"/>
      <c r="D127" s="14"/>
      <c r="E127" s="15">
        <f t="shared" ref="E127:E133" si="35">D127-C127</f>
        <v>0</v>
      </c>
      <c r="F127" s="16" t="e">
        <f t="shared" ref="F127:F133" si="36">(E127/C127)</f>
        <v>#DIV/0!</v>
      </c>
    </row>
    <row r="128" spans="1:34" s="37" customFormat="1" ht="27.95" customHeight="1" x14ac:dyDescent="0.25">
      <c r="A128" s="34"/>
      <c r="B128" s="46" t="s">
        <v>110</v>
      </c>
      <c r="C128" s="14"/>
      <c r="D128" s="14"/>
      <c r="E128" s="15">
        <f t="shared" si="35"/>
        <v>0</v>
      </c>
      <c r="F128" s="16" t="e">
        <f t="shared" si="36"/>
        <v>#DIV/0!</v>
      </c>
    </row>
    <row r="129" spans="1:34" s="3" customFormat="1" ht="27.95" customHeight="1" x14ac:dyDescent="0.25">
      <c r="A129" s="34"/>
      <c r="B129" s="46" t="s">
        <v>111</v>
      </c>
      <c r="C129" s="14"/>
      <c r="D129" s="14"/>
      <c r="E129" s="15">
        <f t="shared" si="35"/>
        <v>0</v>
      </c>
      <c r="F129" s="16" t="e">
        <f t="shared" si="36"/>
        <v>#DIV/0!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s="3" customFormat="1" ht="27.95" customHeight="1" x14ac:dyDescent="0.25">
      <c r="A130" s="34"/>
      <c r="B130" s="46" t="s">
        <v>112</v>
      </c>
      <c r="C130" s="14"/>
      <c r="D130" s="14"/>
      <c r="E130" s="15">
        <f t="shared" si="35"/>
        <v>0</v>
      </c>
      <c r="F130" s="16" t="e">
        <f t="shared" si="36"/>
        <v>#DIV/0!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27.95" customHeight="1" x14ac:dyDescent="0.25">
      <c r="A131" s="34"/>
      <c r="B131" s="46" t="s">
        <v>113</v>
      </c>
      <c r="C131" s="14"/>
      <c r="D131" s="14"/>
      <c r="E131" s="15">
        <f t="shared" si="35"/>
        <v>0</v>
      </c>
      <c r="F131" s="16" t="e">
        <f t="shared" si="36"/>
        <v>#DIV/0!</v>
      </c>
    </row>
    <row r="132" spans="1:34" ht="27.95" customHeight="1" x14ac:dyDescent="0.25">
      <c r="A132" s="34"/>
      <c r="B132" s="46" t="s">
        <v>114</v>
      </c>
      <c r="C132" s="14"/>
      <c r="D132" s="14"/>
      <c r="E132" s="15">
        <f t="shared" si="35"/>
        <v>0</v>
      </c>
      <c r="F132" s="16" t="e">
        <f t="shared" si="36"/>
        <v>#DIV/0!</v>
      </c>
    </row>
    <row r="133" spans="1:34" ht="27.95" customHeight="1" x14ac:dyDescent="0.25">
      <c r="A133" s="34"/>
      <c r="B133" s="46" t="s">
        <v>115</v>
      </c>
      <c r="C133" s="14"/>
      <c r="D133" s="14"/>
      <c r="E133" s="15">
        <f t="shared" si="35"/>
        <v>0</v>
      </c>
      <c r="F133" s="16" t="e">
        <f t="shared" si="36"/>
        <v>#DIV/0!</v>
      </c>
    </row>
    <row r="134" spans="1:34" ht="27.95" hidden="1" customHeight="1" x14ac:dyDescent="0.3">
      <c r="A134" s="36" t="s">
        <v>162</v>
      </c>
      <c r="B134" s="55"/>
      <c r="C134" s="37"/>
      <c r="D134" s="37"/>
      <c r="E134" s="37"/>
      <c r="F134" s="37"/>
    </row>
    <row r="135" spans="1:34" ht="147" customHeight="1" x14ac:dyDescent="0.25">
      <c r="A135" s="69" t="s">
        <v>171</v>
      </c>
      <c r="B135" s="70"/>
      <c r="C135" s="70"/>
      <c r="D135" s="70"/>
      <c r="E135" s="70"/>
      <c r="F135" s="71"/>
    </row>
    <row r="136" spans="1:34" ht="27.95" customHeight="1" x14ac:dyDescent="0.3">
      <c r="A136" s="36"/>
      <c r="B136" s="55"/>
      <c r="C136" s="37"/>
      <c r="D136" s="37"/>
      <c r="E136" s="37"/>
      <c r="F136" s="37"/>
    </row>
    <row r="137" spans="1:34" ht="27.95" customHeight="1" x14ac:dyDescent="0.25">
      <c r="A137" s="76" t="s">
        <v>0</v>
      </c>
      <c r="B137" s="76"/>
      <c r="C137" s="76"/>
      <c r="D137" s="76"/>
      <c r="E137" s="76"/>
      <c r="F137" s="76"/>
    </row>
    <row r="138" spans="1:34" ht="44.25" customHeight="1" x14ac:dyDescent="0.25">
      <c r="A138" s="73" t="s">
        <v>117</v>
      </c>
      <c r="B138" s="74"/>
      <c r="C138" s="75"/>
      <c r="D138" s="75"/>
      <c r="E138" s="75"/>
      <c r="F138" s="75"/>
    </row>
    <row r="139" spans="1:34" s="57" customFormat="1" ht="27.95" customHeight="1" x14ac:dyDescent="0.3">
      <c r="A139" s="65"/>
      <c r="B139" s="61" t="s">
        <v>5</v>
      </c>
      <c r="C139" s="61" t="s">
        <v>4</v>
      </c>
      <c r="D139" s="42" t="s">
        <v>6</v>
      </c>
      <c r="E139" s="42" t="s">
        <v>1</v>
      </c>
      <c r="F139" s="42" t="s">
        <v>2</v>
      </c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</row>
    <row r="140" spans="1:34" ht="27.95" customHeight="1" x14ac:dyDescent="0.25">
      <c r="A140" s="59" t="s">
        <v>72</v>
      </c>
      <c r="B140" s="60" t="s">
        <v>3</v>
      </c>
      <c r="C140" s="10"/>
      <c r="D140" s="10"/>
      <c r="E140" s="15">
        <f t="shared" ref="E140:E141" si="37">D140-C140</f>
        <v>0</v>
      </c>
      <c r="F140" s="16" t="e">
        <f t="shared" ref="F140:F141" si="38">(E140/C140)</f>
        <v>#DIV/0!</v>
      </c>
    </row>
    <row r="141" spans="1:34" s="24" customFormat="1" ht="27.95" customHeight="1" x14ac:dyDescent="0.25">
      <c r="A141" s="17"/>
      <c r="B141" s="46" t="s">
        <v>118</v>
      </c>
      <c r="C141" s="14"/>
      <c r="D141" s="14"/>
      <c r="E141" s="15">
        <f t="shared" si="37"/>
        <v>0</v>
      </c>
      <c r="F141" s="16" t="e">
        <f t="shared" si="38"/>
        <v>#DIV/0!</v>
      </c>
    </row>
    <row r="142" spans="1:34" s="3" customFormat="1" ht="27.95" customHeight="1" x14ac:dyDescent="0.25">
      <c r="A142" s="34"/>
      <c r="B142" s="46" t="s">
        <v>119</v>
      </c>
      <c r="C142" s="14"/>
      <c r="D142" s="14"/>
      <c r="E142" s="15">
        <f t="shared" ref="E142:E147" si="39">D142-C142</f>
        <v>0</v>
      </c>
      <c r="F142" s="16" t="e">
        <f t="shared" ref="F142:F147" si="40">(E142/C142)</f>
        <v>#DIV/0!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34.5" customHeight="1" x14ac:dyDescent="0.25">
      <c r="A143" s="34"/>
      <c r="B143" s="46" t="s">
        <v>120</v>
      </c>
      <c r="C143" s="14"/>
      <c r="D143" s="14"/>
      <c r="E143" s="15">
        <f t="shared" si="39"/>
        <v>0</v>
      </c>
      <c r="F143" s="16" t="e">
        <f t="shared" si="40"/>
        <v>#DIV/0!</v>
      </c>
    </row>
    <row r="144" spans="1:34" ht="31.5" customHeight="1" x14ac:dyDescent="0.25">
      <c r="A144" s="34"/>
      <c r="B144" s="46" t="s">
        <v>121</v>
      </c>
      <c r="C144" s="14"/>
      <c r="D144" s="14"/>
      <c r="E144" s="15">
        <f t="shared" si="39"/>
        <v>0</v>
      </c>
      <c r="F144" s="16" t="e">
        <f t="shared" si="40"/>
        <v>#DIV/0!</v>
      </c>
    </row>
    <row r="145" spans="1:34" ht="31.5" customHeight="1" x14ac:dyDescent="0.25">
      <c r="A145" s="34"/>
      <c r="B145" s="46" t="s">
        <v>122</v>
      </c>
      <c r="C145" s="14"/>
      <c r="D145" s="14"/>
      <c r="E145" s="15">
        <f t="shared" si="39"/>
        <v>0</v>
      </c>
      <c r="F145" s="16" t="e">
        <f t="shared" si="40"/>
        <v>#DIV/0!</v>
      </c>
    </row>
    <row r="146" spans="1:34" ht="30" customHeight="1" x14ac:dyDescent="0.25">
      <c r="A146" s="34"/>
      <c r="B146" s="46" t="s">
        <v>123</v>
      </c>
      <c r="C146" s="14"/>
      <c r="D146" s="14"/>
      <c r="E146" s="15">
        <f t="shared" si="39"/>
        <v>0</v>
      </c>
      <c r="F146" s="16" t="e">
        <f t="shared" si="40"/>
        <v>#DIV/0!</v>
      </c>
    </row>
    <row r="147" spans="1:34" ht="29.25" customHeight="1" x14ac:dyDescent="0.25">
      <c r="A147" s="34"/>
      <c r="B147" s="46" t="s">
        <v>124</v>
      </c>
      <c r="C147" s="14"/>
      <c r="D147" s="14"/>
      <c r="E147" s="15">
        <f t="shared" si="39"/>
        <v>0</v>
      </c>
      <c r="F147" s="16" t="e">
        <f t="shared" si="40"/>
        <v>#DIV/0!</v>
      </c>
    </row>
    <row r="148" spans="1:34" ht="27.95" hidden="1" customHeight="1" x14ac:dyDescent="0.3">
      <c r="A148" s="36" t="s">
        <v>162</v>
      </c>
      <c r="B148" s="54"/>
      <c r="C148" s="24"/>
      <c r="D148" s="24"/>
      <c r="E148" s="24"/>
      <c r="F148" s="24"/>
    </row>
    <row r="149" spans="1:34" ht="143.25" customHeight="1" x14ac:dyDescent="0.25">
      <c r="A149" s="69" t="s">
        <v>163</v>
      </c>
      <c r="B149" s="70"/>
      <c r="C149" s="70"/>
      <c r="D149" s="70"/>
      <c r="E149" s="70"/>
      <c r="F149" s="71"/>
    </row>
    <row r="150" spans="1:34" ht="27.95" customHeight="1" x14ac:dyDescent="0.3">
      <c r="A150" s="36"/>
      <c r="B150" s="54"/>
      <c r="C150" s="24"/>
      <c r="D150" s="24"/>
      <c r="E150" s="24"/>
      <c r="F150" s="24"/>
    </row>
    <row r="151" spans="1:34" ht="27.95" customHeight="1" x14ac:dyDescent="0.25">
      <c r="A151" s="76" t="s">
        <v>0</v>
      </c>
      <c r="B151" s="76"/>
      <c r="C151" s="76"/>
      <c r="D151" s="76"/>
      <c r="E151" s="76"/>
      <c r="F151" s="76"/>
    </row>
    <row r="152" spans="1:34" ht="40.5" customHeight="1" x14ac:dyDescent="0.25">
      <c r="A152" s="74" t="s">
        <v>86</v>
      </c>
      <c r="B152" s="74"/>
      <c r="C152" s="75"/>
      <c r="D152" s="75"/>
      <c r="E152" s="75"/>
      <c r="F152" s="75"/>
    </row>
    <row r="153" spans="1:34" s="57" customFormat="1" ht="27.95" customHeight="1" x14ac:dyDescent="0.3">
      <c r="A153" s="65"/>
      <c r="B153" s="61" t="s">
        <v>5</v>
      </c>
      <c r="C153" s="61" t="s">
        <v>4</v>
      </c>
      <c r="D153" s="42" t="s">
        <v>6</v>
      </c>
      <c r="E153" s="42" t="s">
        <v>1</v>
      </c>
      <c r="F153" s="42" t="s">
        <v>2</v>
      </c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</row>
    <row r="154" spans="1:34" ht="27.95" customHeight="1" x14ac:dyDescent="0.25">
      <c r="A154" s="59" t="s">
        <v>72</v>
      </c>
      <c r="B154" s="60" t="s">
        <v>3</v>
      </c>
      <c r="C154" s="10"/>
      <c r="D154" s="10"/>
      <c r="E154" s="15">
        <f t="shared" ref="E154" si="41">D154-C154</f>
        <v>0</v>
      </c>
      <c r="F154" s="16" t="e">
        <f t="shared" ref="F154" si="42">(E154/C154)</f>
        <v>#DIV/0!</v>
      </c>
    </row>
    <row r="155" spans="1:34" ht="27.95" customHeight="1" x14ac:dyDescent="0.25">
      <c r="A155" s="14"/>
      <c r="B155" s="46" t="s">
        <v>53</v>
      </c>
      <c r="C155" s="14"/>
      <c r="D155" s="14"/>
      <c r="E155" s="11">
        <f>D155-C155</f>
        <v>0</v>
      </c>
      <c r="F155" s="12" t="e">
        <f>(E155/C155)</f>
        <v>#DIV/0!</v>
      </c>
    </row>
    <row r="156" spans="1:34" ht="27.95" customHeight="1" x14ac:dyDescent="0.25">
      <c r="A156" s="34"/>
      <c r="B156" s="46" t="s">
        <v>54</v>
      </c>
      <c r="C156" s="14"/>
      <c r="D156" s="14"/>
      <c r="E156" s="11">
        <f t="shared" ref="E156:E176" si="43">D156-C156</f>
        <v>0</v>
      </c>
      <c r="F156" s="12" t="e">
        <f t="shared" ref="F156:F176" si="44">(E156/C156)</f>
        <v>#DIV/0!</v>
      </c>
    </row>
    <row r="157" spans="1:34" ht="27.95" customHeight="1" x14ac:dyDescent="0.25">
      <c r="A157" s="34"/>
      <c r="B157" s="46" t="s">
        <v>55</v>
      </c>
      <c r="C157" s="14"/>
      <c r="D157" s="14"/>
      <c r="E157" s="11">
        <f t="shared" si="43"/>
        <v>0</v>
      </c>
      <c r="F157" s="12" t="e">
        <f t="shared" si="44"/>
        <v>#DIV/0!</v>
      </c>
    </row>
    <row r="158" spans="1:34" ht="27.95" customHeight="1" x14ac:dyDescent="0.25">
      <c r="A158" s="34"/>
      <c r="B158" s="46" t="s">
        <v>56</v>
      </c>
      <c r="C158" s="14"/>
      <c r="D158" s="14"/>
      <c r="E158" s="11">
        <f t="shared" si="43"/>
        <v>0</v>
      </c>
      <c r="F158" s="12" t="e">
        <f t="shared" si="44"/>
        <v>#DIV/0!</v>
      </c>
    </row>
    <row r="159" spans="1:34" ht="27.95" customHeight="1" x14ac:dyDescent="0.25">
      <c r="A159" s="34"/>
      <c r="B159" s="46" t="s">
        <v>57</v>
      </c>
      <c r="C159" s="14"/>
      <c r="D159" s="14"/>
      <c r="E159" s="11">
        <f t="shared" si="43"/>
        <v>0</v>
      </c>
      <c r="F159" s="12" t="e">
        <f t="shared" si="44"/>
        <v>#DIV/0!</v>
      </c>
    </row>
    <row r="160" spans="1:34" ht="27.95" customHeight="1" x14ac:dyDescent="0.25">
      <c r="A160" s="34"/>
      <c r="B160" s="46" t="s">
        <v>58</v>
      </c>
      <c r="C160" s="14"/>
      <c r="D160" s="14"/>
      <c r="E160" s="11">
        <f t="shared" si="43"/>
        <v>0</v>
      </c>
      <c r="F160" s="12" t="e">
        <f t="shared" si="44"/>
        <v>#DIV/0!</v>
      </c>
    </row>
    <row r="161" spans="1:6" ht="27.95" customHeight="1" x14ac:dyDescent="0.25">
      <c r="A161" s="34"/>
      <c r="B161" s="46" t="s">
        <v>59</v>
      </c>
      <c r="C161" s="14"/>
      <c r="D161" s="14"/>
      <c r="E161" s="11">
        <f t="shared" si="43"/>
        <v>0</v>
      </c>
      <c r="F161" s="12" t="e">
        <f t="shared" si="44"/>
        <v>#DIV/0!</v>
      </c>
    </row>
    <row r="162" spans="1:6" ht="27.95" customHeight="1" x14ac:dyDescent="0.25">
      <c r="A162" s="34"/>
      <c r="B162" s="46" t="s">
        <v>60</v>
      </c>
      <c r="C162" s="14"/>
      <c r="D162" s="14"/>
      <c r="E162" s="11">
        <f t="shared" si="43"/>
        <v>0</v>
      </c>
      <c r="F162" s="12" t="e">
        <f t="shared" si="44"/>
        <v>#DIV/0!</v>
      </c>
    </row>
    <row r="163" spans="1:6" ht="27.95" customHeight="1" x14ac:dyDescent="0.25">
      <c r="A163" s="34"/>
      <c r="B163" s="46" t="s">
        <v>61</v>
      </c>
      <c r="C163" s="14"/>
      <c r="D163" s="14"/>
      <c r="E163" s="11">
        <f t="shared" si="43"/>
        <v>0</v>
      </c>
      <c r="F163" s="12" t="e">
        <f t="shared" si="44"/>
        <v>#DIV/0!</v>
      </c>
    </row>
    <row r="164" spans="1:6" ht="27.95" customHeight="1" x14ac:dyDescent="0.25">
      <c r="A164" s="34"/>
      <c r="B164" s="46" t="s">
        <v>62</v>
      </c>
      <c r="C164" s="14"/>
      <c r="D164" s="14"/>
      <c r="E164" s="11">
        <f t="shared" si="43"/>
        <v>0</v>
      </c>
      <c r="F164" s="12" t="e">
        <f t="shared" si="44"/>
        <v>#DIV/0!</v>
      </c>
    </row>
    <row r="165" spans="1:6" ht="27.95" customHeight="1" x14ac:dyDescent="0.25">
      <c r="A165" s="34"/>
      <c r="B165" s="46" t="s">
        <v>63</v>
      </c>
      <c r="C165" s="14"/>
      <c r="D165" s="14"/>
      <c r="E165" s="11">
        <f t="shared" si="43"/>
        <v>0</v>
      </c>
      <c r="F165" s="12" t="e">
        <f t="shared" si="44"/>
        <v>#DIV/0!</v>
      </c>
    </row>
    <row r="166" spans="1:6" ht="27.95" customHeight="1" x14ac:dyDescent="0.25">
      <c r="A166" s="34"/>
      <c r="B166" s="46" t="s">
        <v>64</v>
      </c>
      <c r="C166" s="14"/>
      <c r="D166" s="14"/>
      <c r="E166" s="11">
        <f t="shared" si="43"/>
        <v>0</v>
      </c>
      <c r="F166" s="12" t="e">
        <f t="shared" si="44"/>
        <v>#DIV/0!</v>
      </c>
    </row>
    <row r="167" spans="1:6" ht="27.95" customHeight="1" x14ac:dyDescent="0.25">
      <c r="A167" s="34"/>
      <c r="B167" s="46" t="s">
        <v>65</v>
      </c>
      <c r="C167" s="14"/>
      <c r="D167" s="14"/>
      <c r="E167" s="11">
        <f t="shared" si="43"/>
        <v>0</v>
      </c>
      <c r="F167" s="12" t="e">
        <f t="shared" si="44"/>
        <v>#DIV/0!</v>
      </c>
    </row>
    <row r="168" spans="1:6" ht="27.95" customHeight="1" x14ac:dyDescent="0.25">
      <c r="A168" s="34"/>
      <c r="B168" s="46" t="s">
        <v>66</v>
      </c>
      <c r="C168" s="14"/>
      <c r="D168" s="14"/>
      <c r="E168" s="11">
        <f t="shared" si="43"/>
        <v>0</v>
      </c>
      <c r="F168" s="12" t="e">
        <f t="shared" si="44"/>
        <v>#DIV/0!</v>
      </c>
    </row>
    <row r="169" spans="1:6" s="24" customFormat="1" ht="27.95" customHeight="1" x14ac:dyDescent="0.25">
      <c r="A169" s="34"/>
      <c r="B169" s="46" t="s">
        <v>67</v>
      </c>
      <c r="C169" s="14"/>
      <c r="D169" s="14"/>
      <c r="E169" s="11">
        <f t="shared" si="43"/>
        <v>0</v>
      </c>
      <c r="F169" s="12" t="e">
        <f t="shared" si="44"/>
        <v>#DIV/0!</v>
      </c>
    </row>
    <row r="170" spans="1:6" ht="27.95" customHeight="1" x14ac:dyDescent="0.25">
      <c r="A170" s="34"/>
      <c r="B170" s="46" t="s">
        <v>68</v>
      </c>
      <c r="C170" s="14"/>
      <c r="D170" s="14"/>
      <c r="E170" s="11">
        <f t="shared" si="43"/>
        <v>0</v>
      </c>
      <c r="F170" s="12" t="e">
        <f t="shared" si="44"/>
        <v>#DIV/0!</v>
      </c>
    </row>
    <row r="171" spans="1:6" ht="27.95" customHeight="1" x14ac:dyDescent="0.25">
      <c r="A171" s="34"/>
      <c r="B171" s="46" t="s">
        <v>69</v>
      </c>
      <c r="C171" s="14"/>
      <c r="D171" s="14"/>
      <c r="E171" s="11">
        <f t="shared" si="43"/>
        <v>0</v>
      </c>
      <c r="F171" s="12" t="e">
        <f t="shared" si="44"/>
        <v>#DIV/0!</v>
      </c>
    </row>
    <row r="172" spans="1:6" ht="27.95" customHeight="1" x14ac:dyDescent="0.25">
      <c r="A172" s="34"/>
      <c r="B172" s="46" t="s">
        <v>7</v>
      </c>
      <c r="C172" s="14"/>
      <c r="D172" s="14"/>
      <c r="E172" s="11">
        <f t="shared" si="43"/>
        <v>0</v>
      </c>
      <c r="F172" s="12" t="e">
        <f t="shared" si="44"/>
        <v>#DIV/0!</v>
      </c>
    </row>
    <row r="173" spans="1:6" ht="27.95" customHeight="1" x14ac:dyDescent="0.25">
      <c r="A173" s="34"/>
      <c r="B173" s="46" t="s">
        <v>70</v>
      </c>
      <c r="C173" s="14"/>
      <c r="D173" s="14"/>
      <c r="E173" s="11">
        <f t="shared" si="43"/>
        <v>0</v>
      </c>
      <c r="F173" s="12" t="e">
        <f t="shared" si="44"/>
        <v>#DIV/0!</v>
      </c>
    </row>
    <row r="174" spans="1:6" ht="27.95" customHeight="1" x14ac:dyDescent="0.25">
      <c r="A174" s="34"/>
      <c r="B174" s="46" t="s">
        <v>8</v>
      </c>
      <c r="C174" s="14"/>
      <c r="D174" s="14"/>
      <c r="E174" s="11">
        <f t="shared" si="43"/>
        <v>0</v>
      </c>
      <c r="F174" s="12" t="e">
        <f t="shared" si="44"/>
        <v>#DIV/0!</v>
      </c>
    </row>
    <row r="175" spans="1:6" ht="27.95" customHeight="1" x14ac:dyDescent="0.25">
      <c r="A175" s="34"/>
      <c r="B175" s="46" t="s">
        <v>71</v>
      </c>
      <c r="C175" s="14"/>
      <c r="D175" s="14"/>
      <c r="E175" s="11">
        <f t="shared" si="43"/>
        <v>0</v>
      </c>
      <c r="F175" s="12" t="e">
        <f t="shared" si="44"/>
        <v>#DIV/0!</v>
      </c>
    </row>
    <row r="176" spans="1:6" ht="27.95" customHeight="1" x14ac:dyDescent="0.25">
      <c r="A176" s="34"/>
      <c r="B176" s="46" t="s">
        <v>9</v>
      </c>
      <c r="C176" s="14"/>
      <c r="D176" s="14"/>
      <c r="E176" s="11">
        <f t="shared" si="43"/>
        <v>0</v>
      </c>
      <c r="F176" s="12" t="e">
        <f t="shared" si="44"/>
        <v>#DIV/0!</v>
      </c>
    </row>
    <row r="177" spans="1:34" ht="27.95" hidden="1" customHeight="1" x14ac:dyDescent="0.25">
      <c r="A177" s="36" t="s">
        <v>162</v>
      </c>
      <c r="B177" s="53"/>
      <c r="C177" s="21"/>
      <c r="D177" s="21"/>
      <c r="E177" s="22"/>
      <c r="F177" s="23"/>
    </row>
    <row r="178" spans="1:34" ht="141" customHeight="1" x14ac:dyDescent="0.25">
      <c r="A178" s="68" t="s">
        <v>172</v>
      </c>
      <c r="B178" s="72"/>
      <c r="C178" s="72"/>
      <c r="D178" s="72"/>
      <c r="E178" s="72"/>
      <c r="F178" s="72"/>
    </row>
    <row r="179" spans="1:34" ht="27.95" customHeight="1" x14ac:dyDescent="0.25">
      <c r="A179" s="36"/>
      <c r="B179" s="53"/>
      <c r="C179" s="21"/>
      <c r="D179" s="21"/>
      <c r="E179" s="22"/>
      <c r="F179" s="23"/>
    </row>
    <row r="180" spans="1:34" ht="27.95" customHeight="1" x14ac:dyDescent="0.25">
      <c r="A180" s="76" t="s">
        <v>0</v>
      </c>
      <c r="B180" s="76"/>
      <c r="C180" s="76"/>
      <c r="D180" s="76"/>
      <c r="E180" s="76"/>
      <c r="F180" s="76"/>
    </row>
    <row r="181" spans="1:34" ht="44.25" customHeight="1" x14ac:dyDescent="0.25">
      <c r="A181" s="73" t="s">
        <v>140</v>
      </c>
      <c r="B181" s="74"/>
      <c r="C181" s="75"/>
      <c r="D181" s="75"/>
      <c r="E181" s="75"/>
      <c r="F181" s="75"/>
    </row>
    <row r="182" spans="1:34" s="57" customFormat="1" ht="27.95" customHeight="1" x14ac:dyDescent="0.3">
      <c r="A182" s="65"/>
      <c r="B182" s="61" t="s">
        <v>5</v>
      </c>
      <c r="C182" s="61" t="s">
        <v>4</v>
      </c>
      <c r="D182" s="42" t="s">
        <v>6</v>
      </c>
      <c r="E182" s="42" t="s">
        <v>1</v>
      </c>
      <c r="F182" s="42" t="s">
        <v>2</v>
      </c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</row>
    <row r="183" spans="1:34" ht="27.95" customHeight="1" x14ac:dyDescent="0.25">
      <c r="A183" s="59" t="s">
        <v>72</v>
      </c>
      <c r="B183" s="60" t="s">
        <v>3</v>
      </c>
      <c r="C183" s="10"/>
      <c r="D183" s="10"/>
      <c r="E183" s="15">
        <f t="shared" ref="E183" si="45">D183-C183</f>
        <v>0</v>
      </c>
      <c r="F183" s="16" t="e">
        <f t="shared" ref="F183" si="46">(E183/C183)</f>
        <v>#DIV/0!</v>
      </c>
    </row>
    <row r="184" spans="1:34" ht="27.95" customHeight="1" x14ac:dyDescent="0.25">
      <c r="A184" s="34"/>
      <c r="B184" s="46" t="s">
        <v>125</v>
      </c>
      <c r="C184" s="14"/>
      <c r="D184" s="14"/>
      <c r="E184" s="15">
        <f t="shared" ref="E184" si="47">D184-C184</f>
        <v>0</v>
      </c>
      <c r="F184" s="16" t="e">
        <f t="shared" ref="F184" si="48">(E184/C184)</f>
        <v>#DIV/0!</v>
      </c>
    </row>
    <row r="185" spans="1:34" ht="27.95" customHeight="1" x14ac:dyDescent="0.25">
      <c r="A185" s="34"/>
      <c r="B185" s="46" t="s">
        <v>126</v>
      </c>
      <c r="C185" s="14"/>
      <c r="D185" s="14"/>
      <c r="E185" s="15">
        <f t="shared" ref="E185:E204" si="49">D185-C185</f>
        <v>0</v>
      </c>
      <c r="F185" s="16" t="e">
        <f t="shared" ref="F185:F204" si="50">(E185/C185)</f>
        <v>#DIV/0!</v>
      </c>
    </row>
    <row r="186" spans="1:34" ht="27.95" customHeight="1" x14ac:dyDescent="0.25">
      <c r="A186" s="34"/>
      <c r="B186" s="46" t="s">
        <v>127</v>
      </c>
      <c r="C186" s="14"/>
      <c r="D186" s="14"/>
      <c r="E186" s="15">
        <f t="shared" si="49"/>
        <v>0</v>
      </c>
      <c r="F186" s="16" t="e">
        <f t="shared" si="50"/>
        <v>#DIV/0!</v>
      </c>
    </row>
    <row r="187" spans="1:34" ht="27.95" customHeight="1" x14ac:dyDescent="0.25">
      <c r="A187" s="34"/>
      <c r="B187" s="46" t="s">
        <v>118</v>
      </c>
      <c r="C187" s="14"/>
      <c r="D187" s="14"/>
      <c r="E187" s="15">
        <f t="shared" si="49"/>
        <v>0</v>
      </c>
      <c r="F187" s="16" t="e">
        <f t="shared" si="50"/>
        <v>#DIV/0!</v>
      </c>
    </row>
    <row r="188" spans="1:34" ht="27.95" customHeight="1" x14ac:dyDescent="0.25">
      <c r="A188" s="34"/>
      <c r="B188" s="46" t="s">
        <v>128</v>
      </c>
      <c r="C188" s="14"/>
      <c r="D188" s="14"/>
      <c r="E188" s="15">
        <f t="shared" si="49"/>
        <v>0</v>
      </c>
      <c r="F188" s="16" t="e">
        <f t="shared" si="50"/>
        <v>#DIV/0!</v>
      </c>
    </row>
    <row r="189" spans="1:34" ht="27.95" customHeight="1" x14ac:dyDescent="0.25">
      <c r="A189" s="34"/>
      <c r="B189" s="46" t="s">
        <v>129</v>
      </c>
      <c r="C189" s="14"/>
      <c r="D189" s="14"/>
      <c r="E189" s="15">
        <f t="shared" si="49"/>
        <v>0</v>
      </c>
      <c r="F189" s="16" t="e">
        <f t="shared" si="50"/>
        <v>#DIV/0!</v>
      </c>
    </row>
    <row r="190" spans="1:34" ht="27.95" customHeight="1" x14ac:dyDescent="0.25">
      <c r="A190" s="34"/>
      <c r="B190" s="46" t="s">
        <v>130</v>
      </c>
      <c r="C190" s="14"/>
      <c r="D190" s="14"/>
      <c r="E190" s="15">
        <f t="shared" si="49"/>
        <v>0</v>
      </c>
      <c r="F190" s="16" t="e">
        <f t="shared" si="50"/>
        <v>#DIV/0!</v>
      </c>
    </row>
    <row r="191" spans="1:34" ht="27.95" customHeight="1" x14ac:dyDescent="0.25">
      <c r="A191" s="34"/>
      <c r="B191" s="46" t="s">
        <v>131</v>
      </c>
      <c r="C191" s="14"/>
      <c r="D191" s="14"/>
      <c r="E191" s="15">
        <f t="shared" si="49"/>
        <v>0</v>
      </c>
      <c r="F191" s="16" t="e">
        <f t="shared" si="50"/>
        <v>#DIV/0!</v>
      </c>
    </row>
    <row r="192" spans="1:34" ht="27.95" customHeight="1" x14ac:dyDescent="0.25">
      <c r="A192" s="34"/>
      <c r="B192" s="46" t="s">
        <v>132</v>
      </c>
      <c r="C192" s="14"/>
      <c r="D192" s="14"/>
      <c r="E192" s="15">
        <f t="shared" si="49"/>
        <v>0</v>
      </c>
      <c r="F192" s="16" t="e">
        <f t="shared" si="50"/>
        <v>#DIV/0!</v>
      </c>
    </row>
    <row r="193" spans="1:34" ht="27.95" customHeight="1" x14ac:dyDescent="0.25">
      <c r="A193" s="34"/>
      <c r="B193" s="46" t="s">
        <v>133</v>
      </c>
      <c r="C193" s="14"/>
      <c r="D193" s="14"/>
      <c r="E193" s="15">
        <f t="shared" si="49"/>
        <v>0</v>
      </c>
      <c r="F193" s="16" t="e">
        <f t="shared" si="50"/>
        <v>#DIV/0!</v>
      </c>
    </row>
    <row r="194" spans="1:34" ht="27.95" customHeight="1" x14ac:dyDescent="0.25">
      <c r="A194" s="34"/>
      <c r="B194" s="46" t="s">
        <v>134</v>
      </c>
      <c r="C194" s="14"/>
      <c r="D194" s="14"/>
      <c r="E194" s="15">
        <f t="shared" si="49"/>
        <v>0</v>
      </c>
      <c r="F194" s="16" t="e">
        <f t="shared" si="50"/>
        <v>#DIV/0!</v>
      </c>
    </row>
    <row r="195" spans="1:34" ht="27.95" customHeight="1" x14ac:dyDescent="0.25">
      <c r="A195" s="34"/>
      <c r="B195" s="46" t="s">
        <v>119</v>
      </c>
      <c r="C195" s="14"/>
      <c r="D195" s="14"/>
      <c r="E195" s="15">
        <f t="shared" si="49"/>
        <v>0</v>
      </c>
      <c r="F195" s="16" t="e">
        <f t="shared" si="50"/>
        <v>#DIV/0!</v>
      </c>
    </row>
    <row r="196" spans="1:34" s="24" customFormat="1" ht="27.95" customHeight="1" x14ac:dyDescent="0.25">
      <c r="A196" s="34"/>
      <c r="B196" s="46" t="s">
        <v>120</v>
      </c>
      <c r="C196" s="14"/>
      <c r="D196" s="14"/>
      <c r="E196" s="15">
        <f t="shared" si="49"/>
        <v>0</v>
      </c>
      <c r="F196" s="16" t="e">
        <f t="shared" si="50"/>
        <v>#DIV/0!</v>
      </c>
    </row>
    <row r="197" spans="1:34" ht="27.95" customHeight="1" x14ac:dyDescent="0.25">
      <c r="A197" s="34"/>
      <c r="B197" s="46" t="s">
        <v>121</v>
      </c>
      <c r="C197" s="14"/>
      <c r="D197" s="14"/>
      <c r="E197" s="15">
        <f t="shared" si="49"/>
        <v>0</v>
      </c>
      <c r="F197" s="16" t="e">
        <f t="shared" si="50"/>
        <v>#DIV/0!</v>
      </c>
    </row>
    <row r="198" spans="1:34" s="3" customFormat="1" ht="27.95" customHeight="1" x14ac:dyDescent="0.25">
      <c r="A198" s="64"/>
      <c r="B198" s="46" t="s">
        <v>122</v>
      </c>
      <c r="C198" s="33"/>
      <c r="D198" s="33"/>
      <c r="E198" s="15">
        <f t="shared" si="49"/>
        <v>0</v>
      </c>
      <c r="F198" s="16" t="e">
        <f t="shared" si="50"/>
        <v>#DIV/0!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27.95" customHeight="1" x14ac:dyDescent="0.25">
      <c r="A199" s="34"/>
      <c r="B199" s="46" t="s">
        <v>123</v>
      </c>
      <c r="C199" s="14"/>
      <c r="D199" s="14"/>
      <c r="E199" s="15">
        <f t="shared" si="49"/>
        <v>0</v>
      </c>
      <c r="F199" s="16" t="e">
        <f t="shared" si="50"/>
        <v>#DIV/0!</v>
      </c>
    </row>
    <row r="200" spans="1:34" ht="27.95" customHeight="1" x14ac:dyDescent="0.25">
      <c r="A200" s="34"/>
      <c r="B200" s="46" t="s">
        <v>135</v>
      </c>
      <c r="C200" s="14"/>
      <c r="D200" s="14"/>
      <c r="E200" s="15">
        <f t="shared" si="49"/>
        <v>0</v>
      </c>
      <c r="F200" s="16" t="e">
        <f t="shared" si="50"/>
        <v>#DIV/0!</v>
      </c>
    </row>
    <row r="201" spans="1:34" ht="27.95" customHeight="1" x14ac:dyDescent="0.25">
      <c r="A201" s="34"/>
      <c r="B201" s="46" t="s">
        <v>136</v>
      </c>
      <c r="C201" s="14"/>
      <c r="D201" s="14"/>
      <c r="E201" s="15">
        <f t="shared" si="49"/>
        <v>0</v>
      </c>
      <c r="F201" s="16" t="e">
        <f t="shared" si="50"/>
        <v>#DIV/0!</v>
      </c>
    </row>
    <row r="202" spans="1:34" ht="27.95" customHeight="1" x14ac:dyDescent="0.25">
      <c r="A202" s="34"/>
      <c r="B202" s="46" t="s">
        <v>137</v>
      </c>
      <c r="C202" s="14"/>
      <c r="D202" s="14"/>
      <c r="E202" s="15">
        <f t="shared" si="49"/>
        <v>0</v>
      </c>
      <c r="F202" s="16" t="e">
        <f t="shared" si="50"/>
        <v>#DIV/0!</v>
      </c>
    </row>
    <row r="203" spans="1:34" ht="27.95" customHeight="1" x14ac:dyDescent="0.25">
      <c r="A203" s="34"/>
      <c r="B203" s="46" t="s">
        <v>138</v>
      </c>
      <c r="C203" s="14"/>
      <c r="D203" s="14"/>
      <c r="E203" s="15">
        <f t="shared" si="49"/>
        <v>0</v>
      </c>
      <c r="F203" s="16" t="e">
        <f t="shared" si="50"/>
        <v>#DIV/0!</v>
      </c>
    </row>
    <row r="204" spans="1:34" s="1" customFormat="1" ht="27.95" customHeight="1" x14ac:dyDescent="0.25">
      <c r="A204" s="34"/>
      <c r="B204" s="46" t="s">
        <v>139</v>
      </c>
      <c r="C204" s="14"/>
      <c r="D204" s="14"/>
      <c r="E204" s="15">
        <f t="shared" si="49"/>
        <v>0</v>
      </c>
      <c r="F204" s="16" t="e">
        <f t="shared" si="50"/>
        <v>#DIV/0!</v>
      </c>
    </row>
    <row r="205" spans="1:34" ht="27.95" hidden="1" customHeight="1" x14ac:dyDescent="0.3">
      <c r="A205" s="36" t="s">
        <v>162</v>
      </c>
      <c r="B205" s="54"/>
      <c r="C205" s="24"/>
      <c r="D205" s="24"/>
      <c r="E205" s="24"/>
      <c r="F205" s="24"/>
    </row>
    <row r="206" spans="1:34" ht="142.5" customHeight="1" x14ac:dyDescent="0.25">
      <c r="A206" s="68" t="s">
        <v>172</v>
      </c>
      <c r="B206" s="72"/>
      <c r="C206" s="72"/>
      <c r="D206" s="72"/>
      <c r="E206" s="72"/>
      <c r="F206" s="72"/>
    </row>
    <row r="207" spans="1:34" ht="27.95" customHeight="1" x14ac:dyDescent="0.3">
      <c r="A207" s="36"/>
      <c r="B207" s="54"/>
      <c r="C207" s="24"/>
      <c r="D207" s="24"/>
      <c r="E207" s="24"/>
      <c r="F207" s="24"/>
    </row>
    <row r="208" spans="1:34" ht="27.95" customHeight="1" x14ac:dyDescent="0.25">
      <c r="A208" s="76" t="s">
        <v>0</v>
      </c>
      <c r="B208" s="76"/>
      <c r="C208" s="76"/>
      <c r="D208" s="76"/>
      <c r="E208" s="76"/>
      <c r="F208" s="76"/>
    </row>
    <row r="209" spans="1:34" ht="42.75" customHeight="1" x14ac:dyDescent="0.25">
      <c r="A209" s="73" t="s">
        <v>141</v>
      </c>
      <c r="B209" s="74"/>
      <c r="C209" s="75"/>
      <c r="D209" s="75"/>
      <c r="E209" s="75"/>
      <c r="F209" s="75"/>
    </row>
    <row r="210" spans="1:34" s="57" customFormat="1" ht="27.95" customHeight="1" x14ac:dyDescent="0.3">
      <c r="A210" s="65"/>
      <c r="B210" s="61" t="s">
        <v>5</v>
      </c>
      <c r="C210" s="61" t="s">
        <v>4</v>
      </c>
      <c r="D210" s="42" t="s">
        <v>6</v>
      </c>
      <c r="E210" s="42" t="s">
        <v>1</v>
      </c>
      <c r="F210" s="42" t="s">
        <v>2</v>
      </c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</row>
    <row r="211" spans="1:34" ht="27.95" customHeight="1" x14ac:dyDescent="0.25">
      <c r="A211" s="59" t="s">
        <v>72</v>
      </c>
      <c r="B211" s="60" t="s">
        <v>3</v>
      </c>
      <c r="C211" s="10"/>
      <c r="D211" s="10"/>
      <c r="E211" s="15">
        <f t="shared" ref="E211" si="51">D211-C211</f>
        <v>0</v>
      </c>
      <c r="F211" s="16" t="e">
        <f t="shared" ref="F211" si="52">(E211/C211)</f>
        <v>#DIV/0!</v>
      </c>
    </row>
    <row r="212" spans="1:34" ht="27.95" customHeight="1" x14ac:dyDescent="0.25">
      <c r="A212" s="34"/>
      <c r="B212" s="46" t="s">
        <v>136</v>
      </c>
      <c r="C212" s="14"/>
      <c r="D212" s="14"/>
      <c r="E212" s="15">
        <f t="shared" ref="E212" si="53">D212-C212</f>
        <v>0</v>
      </c>
      <c r="F212" s="16" t="e">
        <f t="shared" ref="F212" si="54">(E212/C212)</f>
        <v>#DIV/0!</v>
      </c>
    </row>
    <row r="213" spans="1:34" ht="27.95" customHeight="1" x14ac:dyDescent="0.25">
      <c r="A213" s="34"/>
      <c r="B213" s="46" t="s">
        <v>126</v>
      </c>
      <c r="C213" s="14"/>
      <c r="D213" s="14"/>
      <c r="E213" s="15">
        <f t="shared" ref="E213:E214" si="55">D213-C213</f>
        <v>0</v>
      </c>
      <c r="F213" s="16" t="e">
        <f t="shared" ref="F213:F214" si="56">(E213/C213)</f>
        <v>#DIV/0!</v>
      </c>
    </row>
    <row r="214" spans="1:34" ht="27.95" customHeight="1" x14ac:dyDescent="0.25">
      <c r="A214" s="34"/>
      <c r="B214" s="46" t="s">
        <v>130</v>
      </c>
      <c r="C214" s="14"/>
      <c r="D214" s="14"/>
      <c r="E214" s="15">
        <f t="shared" si="55"/>
        <v>0</v>
      </c>
      <c r="F214" s="16" t="e">
        <f t="shared" si="56"/>
        <v>#DIV/0!</v>
      </c>
    </row>
    <row r="215" spans="1:34" ht="27.95" hidden="1" customHeight="1" x14ac:dyDescent="0.3">
      <c r="A215" s="58" t="s">
        <v>162</v>
      </c>
      <c r="B215" s="56"/>
      <c r="C215" s="1"/>
      <c r="D215" s="1"/>
      <c r="E215" s="1"/>
      <c r="F215" s="1"/>
    </row>
    <row r="216" spans="1:34" ht="142.5" customHeight="1" x14ac:dyDescent="0.25">
      <c r="A216" s="68" t="s">
        <v>173</v>
      </c>
      <c r="B216" s="72"/>
      <c r="C216" s="72"/>
      <c r="D216" s="72"/>
      <c r="E216" s="72"/>
      <c r="F216" s="72"/>
    </row>
    <row r="217" spans="1:34" ht="27.95" customHeight="1" x14ac:dyDescent="0.3">
      <c r="A217" s="58"/>
      <c r="B217" s="56"/>
      <c r="C217" s="1"/>
      <c r="D217" s="1"/>
      <c r="E217" s="1"/>
      <c r="F217" s="1"/>
    </row>
    <row r="218" spans="1:34" ht="27.95" customHeight="1" x14ac:dyDescent="0.25">
      <c r="A218" s="76" t="s">
        <v>0</v>
      </c>
      <c r="B218" s="76"/>
      <c r="C218" s="76"/>
      <c r="D218" s="76"/>
      <c r="E218" s="76"/>
      <c r="F218" s="76"/>
    </row>
    <row r="219" spans="1:34" ht="41.25" customHeight="1" x14ac:dyDescent="0.25">
      <c r="A219" s="73" t="s">
        <v>142</v>
      </c>
      <c r="B219" s="74"/>
      <c r="C219" s="75"/>
      <c r="D219" s="75"/>
      <c r="E219" s="75"/>
      <c r="F219" s="75"/>
    </row>
    <row r="220" spans="1:34" s="57" customFormat="1" ht="27.95" customHeight="1" x14ac:dyDescent="0.3">
      <c r="A220" s="65"/>
      <c r="B220" s="61" t="s">
        <v>5</v>
      </c>
      <c r="C220" s="61" t="s">
        <v>4</v>
      </c>
      <c r="D220" s="42" t="s">
        <v>6</v>
      </c>
      <c r="E220" s="42" t="s">
        <v>1</v>
      </c>
      <c r="F220" s="42" t="s">
        <v>2</v>
      </c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</row>
    <row r="221" spans="1:34" ht="27.95" customHeight="1" x14ac:dyDescent="0.25">
      <c r="A221" s="59" t="s">
        <v>72</v>
      </c>
      <c r="B221" s="60" t="s">
        <v>3</v>
      </c>
      <c r="C221" s="10"/>
      <c r="D221" s="10"/>
      <c r="E221" s="15">
        <f t="shared" ref="E221:E222" si="57">D221-C221</f>
        <v>0</v>
      </c>
      <c r="F221" s="16" t="e">
        <f t="shared" ref="F221:F222" si="58">(E221/C221)</f>
        <v>#DIV/0!</v>
      </c>
    </row>
    <row r="222" spans="1:34" ht="27.95" customHeight="1" x14ac:dyDescent="0.25">
      <c r="A222" s="34"/>
      <c r="B222" s="46" t="s">
        <v>143</v>
      </c>
      <c r="C222" s="14"/>
      <c r="D222" s="14"/>
      <c r="E222" s="15">
        <f t="shared" si="57"/>
        <v>0</v>
      </c>
      <c r="F222" s="16" t="e">
        <f t="shared" si="58"/>
        <v>#DIV/0!</v>
      </c>
    </row>
    <row r="223" spans="1:34" ht="27.95" customHeight="1" x14ac:dyDescent="0.25">
      <c r="A223" s="34"/>
      <c r="B223" s="46" t="s">
        <v>75</v>
      </c>
      <c r="C223" s="14"/>
      <c r="D223" s="14"/>
      <c r="E223" s="15">
        <f t="shared" ref="E223:E257" si="59">D223-C223</f>
        <v>0</v>
      </c>
      <c r="F223" s="16" t="e">
        <f t="shared" ref="F223:F257" si="60">(E223/C223)</f>
        <v>#DIV/0!</v>
      </c>
    </row>
    <row r="224" spans="1:34" ht="27.95" customHeight="1" x14ac:dyDescent="0.25">
      <c r="A224" s="34"/>
      <c r="B224" s="46" t="s">
        <v>81</v>
      </c>
      <c r="C224" s="14"/>
      <c r="D224" s="14"/>
      <c r="E224" s="15">
        <f t="shared" si="59"/>
        <v>0</v>
      </c>
      <c r="F224" s="16" t="e">
        <f t="shared" si="60"/>
        <v>#DIV/0!</v>
      </c>
    </row>
    <row r="225" spans="1:6" ht="27.95" customHeight="1" x14ac:dyDescent="0.25">
      <c r="A225" s="34"/>
      <c r="B225" s="46" t="s">
        <v>76</v>
      </c>
      <c r="C225" s="14"/>
      <c r="D225" s="14"/>
      <c r="E225" s="15">
        <f t="shared" si="59"/>
        <v>0</v>
      </c>
      <c r="F225" s="16" t="e">
        <f t="shared" si="60"/>
        <v>#DIV/0!</v>
      </c>
    </row>
    <row r="226" spans="1:6" ht="27.95" customHeight="1" x14ac:dyDescent="0.25">
      <c r="A226" s="34"/>
      <c r="B226" s="46" t="s">
        <v>144</v>
      </c>
      <c r="C226" s="14"/>
      <c r="D226" s="14"/>
      <c r="E226" s="15">
        <f t="shared" si="59"/>
        <v>0</v>
      </c>
      <c r="F226" s="16" t="e">
        <f t="shared" si="60"/>
        <v>#DIV/0!</v>
      </c>
    </row>
    <row r="227" spans="1:6" ht="27.95" customHeight="1" x14ac:dyDescent="0.25">
      <c r="A227" s="34"/>
      <c r="B227" s="46" t="s">
        <v>145</v>
      </c>
      <c r="C227" s="14"/>
      <c r="D227" s="14"/>
      <c r="E227" s="15">
        <f t="shared" si="59"/>
        <v>0</v>
      </c>
      <c r="F227" s="16" t="e">
        <f t="shared" si="60"/>
        <v>#DIV/0!</v>
      </c>
    </row>
    <row r="228" spans="1:6" ht="27.95" customHeight="1" x14ac:dyDescent="0.25">
      <c r="A228" s="34"/>
      <c r="B228" s="46" t="s">
        <v>146</v>
      </c>
      <c r="C228" s="14"/>
      <c r="D228" s="14"/>
      <c r="E228" s="15">
        <f t="shared" si="59"/>
        <v>0</v>
      </c>
      <c r="F228" s="16" t="e">
        <f t="shared" si="60"/>
        <v>#DIV/0!</v>
      </c>
    </row>
    <row r="229" spans="1:6" ht="27.95" customHeight="1" x14ac:dyDescent="0.25">
      <c r="A229" s="34"/>
      <c r="B229" s="46" t="s">
        <v>147</v>
      </c>
      <c r="C229" s="14"/>
      <c r="D229" s="14"/>
      <c r="E229" s="15">
        <f t="shared" si="59"/>
        <v>0</v>
      </c>
      <c r="F229" s="16" t="e">
        <f t="shared" si="60"/>
        <v>#DIV/0!</v>
      </c>
    </row>
    <row r="230" spans="1:6" ht="27.95" customHeight="1" x14ac:dyDescent="0.25">
      <c r="A230" s="34"/>
      <c r="B230" s="46" t="s">
        <v>148</v>
      </c>
      <c r="C230" s="14"/>
      <c r="D230" s="14"/>
      <c r="E230" s="15">
        <f t="shared" si="59"/>
        <v>0</v>
      </c>
      <c r="F230" s="16" t="e">
        <f t="shared" si="60"/>
        <v>#DIV/0!</v>
      </c>
    </row>
    <row r="231" spans="1:6" ht="27.95" customHeight="1" x14ac:dyDescent="0.25">
      <c r="A231" s="34"/>
      <c r="B231" s="47" t="s">
        <v>10</v>
      </c>
      <c r="C231" s="14"/>
      <c r="D231" s="14"/>
      <c r="E231" s="15">
        <f t="shared" si="59"/>
        <v>0</v>
      </c>
      <c r="F231" s="16" t="e">
        <f t="shared" si="60"/>
        <v>#DIV/0!</v>
      </c>
    </row>
    <row r="232" spans="1:6" ht="27.95" customHeight="1" x14ac:dyDescent="0.25">
      <c r="A232" s="34"/>
      <c r="B232" s="49" t="s">
        <v>12</v>
      </c>
      <c r="C232" s="14"/>
      <c r="D232" s="14"/>
      <c r="E232" s="15">
        <f t="shared" si="59"/>
        <v>0</v>
      </c>
      <c r="F232" s="16" t="e">
        <f t="shared" si="60"/>
        <v>#DIV/0!</v>
      </c>
    </row>
    <row r="233" spans="1:6" ht="27.95" customHeight="1" x14ac:dyDescent="0.25">
      <c r="A233" s="34"/>
      <c r="B233" s="49" t="s">
        <v>11</v>
      </c>
      <c r="C233" s="14"/>
      <c r="D233" s="14"/>
      <c r="E233" s="15">
        <f t="shared" si="59"/>
        <v>0</v>
      </c>
      <c r="F233" s="16" t="e">
        <f t="shared" si="60"/>
        <v>#DIV/0!</v>
      </c>
    </row>
    <row r="234" spans="1:6" ht="27.95" customHeight="1" x14ac:dyDescent="0.25">
      <c r="A234" s="34"/>
      <c r="B234" s="46" t="s">
        <v>14</v>
      </c>
      <c r="C234" s="14"/>
      <c r="D234" s="14"/>
      <c r="E234" s="15">
        <f t="shared" si="59"/>
        <v>0</v>
      </c>
      <c r="F234" s="16" t="e">
        <f t="shared" si="60"/>
        <v>#DIV/0!</v>
      </c>
    </row>
    <row r="235" spans="1:6" ht="27.95" customHeight="1" x14ac:dyDescent="0.25">
      <c r="A235" s="34"/>
      <c r="B235" s="46" t="s">
        <v>149</v>
      </c>
      <c r="C235" s="14"/>
      <c r="D235" s="14"/>
      <c r="E235" s="15">
        <f t="shared" si="59"/>
        <v>0</v>
      </c>
      <c r="F235" s="16" t="e">
        <f t="shared" si="60"/>
        <v>#DIV/0!</v>
      </c>
    </row>
    <row r="236" spans="1:6" ht="27.95" customHeight="1" x14ac:dyDescent="0.25">
      <c r="A236" s="34"/>
      <c r="B236" s="46" t="s">
        <v>28</v>
      </c>
      <c r="C236" s="14"/>
      <c r="D236" s="14"/>
      <c r="E236" s="15">
        <f t="shared" si="59"/>
        <v>0</v>
      </c>
      <c r="F236" s="16" t="e">
        <f t="shared" si="60"/>
        <v>#DIV/0!</v>
      </c>
    </row>
    <row r="237" spans="1:6" ht="27.95" customHeight="1" x14ac:dyDescent="0.25">
      <c r="A237" s="34"/>
      <c r="B237" s="46" t="s">
        <v>82</v>
      </c>
      <c r="C237" s="14"/>
      <c r="D237" s="14"/>
      <c r="E237" s="15">
        <f t="shared" si="59"/>
        <v>0</v>
      </c>
      <c r="F237" s="16" t="e">
        <f t="shared" si="60"/>
        <v>#DIV/0!</v>
      </c>
    </row>
    <row r="238" spans="1:6" ht="27.95" customHeight="1" x14ac:dyDescent="0.25">
      <c r="A238" s="34"/>
      <c r="B238" s="46" t="s">
        <v>32</v>
      </c>
      <c r="C238" s="14"/>
      <c r="D238" s="14"/>
      <c r="E238" s="15">
        <f t="shared" si="59"/>
        <v>0</v>
      </c>
      <c r="F238" s="16" t="e">
        <f t="shared" si="60"/>
        <v>#DIV/0!</v>
      </c>
    </row>
    <row r="239" spans="1:6" ht="27.95" customHeight="1" x14ac:dyDescent="0.25">
      <c r="A239" s="34"/>
      <c r="B239" s="46" t="s">
        <v>35</v>
      </c>
      <c r="C239" s="14"/>
      <c r="D239" s="14"/>
      <c r="E239" s="15">
        <f t="shared" si="59"/>
        <v>0</v>
      </c>
      <c r="F239" s="16" t="e">
        <f t="shared" si="60"/>
        <v>#DIV/0!</v>
      </c>
    </row>
    <row r="240" spans="1:6" ht="27.95" customHeight="1" x14ac:dyDescent="0.25">
      <c r="A240" s="34"/>
      <c r="B240" s="46" t="s">
        <v>150</v>
      </c>
      <c r="C240" s="14"/>
      <c r="D240" s="14"/>
      <c r="E240" s="15">
        <f t="shared" si="59"/>
        <v>0</v>
      </c>
      <c r="F240" s="16" t="e">
        <f t="shared" si="60"/>
        <v>#DIV/0!</v>
      </c>
    </row>
    <row r="241" spans="1:6" ht="27.95" customHeight="1" x14ac:dyDescent="0.25">
      <c r="A241" s="34"/>
      <c r="B241" s="46" t="s">
        <v>151</v>
      </c>
      <c r="C241" s="14"/>
      <c r="D241" s="14"/>
      <c r="E241" s="15">
        <f t="shared" si="59"/>
        <v>0</v>
      </c>
      <c r="F241" s="16" t="e">
        <f t="shared" si="60"/>
        <v>#DIV/0!</v>
      </c>
    </row>
    <row r="242" spans="1:6" ht="27.95" customHeight="1" x14ac:dyDescent="0.25">
      <c r="A242" s="34"/>
      <c r="B242" s="46" t="s">
        <v>43</v>
      </c>
      <c r="C242" s="14"/>
      <c r="D242" s="14"/>
      <c r="E242" s="15">
        <f t="shared" si="59"/>
        <v>0</v>
      </c>
      <c r="F242" s="16" t="e">
        <f t="shared" si="60"/>
        <v>#DIV/0!</v>
      </c>
    </row>
    <row r="243" spans="1:6" ht="27.95" customHeight="1" x14ac:dyDescent="0.25">
      <c r="A243" s="34"/>
      <c r="B243" s="46" t="s">
        <v>152</v>
      </c>
      <c r="C243" s="14"/>
      <c r="D243" s="14"/>
      <c r="E243" s="15">
        <f t="shared" si="59"/>
        <v>0</v>
      </c>
      <c r="F243" s="16" t="e">
        <f t="shared" si="60"/>
        <v>#DIV/0!</v>
      </c>
    </row>
    <row r="244" spans="1:6" ht="27.95" customHeight="1" x14ac:dyDescent="0.25">
      <c r="A244" s="34"/>
      <c r="B244" s="46" t="s">
        <v>46</v>
      </c>
      <c r="C244" s="14"/>
      <c r="D244" s="14"/>
      <c r="E244" s="15">
        <f t="shared" si="59"/>
        <v>0</v>
      </c>
      <c r="F244" s="16" t="e">
        <f t="shared" si="60"/>
        <v>#DIV/0!</v>
      </c>
    </row>
    <row r="245" spans="1:6" ht="27.95" customHeight="1" x14ac:dyDescent="0.25">
      <c r="A245" s="34"/>
      <c r="B245" s="46" t="s">
        <v>49</v>
      </c>
      <c r="C245" s="14"/>
      <c r="D245" s="14"/>
      <c r="E245" s="15">
        <f t="shared" si="59"/>
        <v>0</v>
      </c>
      <c r="F245" s="16" t="e">
        <f t="shared" si="60"/>
        <v>#DIV/0!</v>
      </c>
    </row>
    <row r="246" spans="1:6" ht="27.95" customHeight="1" x14ac:dyDescent="0.25">
      <c r="A246" s="34"/>
      <c r="B246" s="46" t="s">
        <v>50</v>
      </c>
      <c r="C246" s="14"/>
      <c r="D246" s="14"/>
      <c r="E246" s="15">
        <f t="shared" si="59"/>
        <v>0</v>
      </c>
      <c r="F246" s="16" t="e">
        <f t="shared" si="60"/>
        <v>#DIV/0!</v>
      </c>
    </row>
    <row r="247" spans="1:6" ht="27.95" customHeight="1" x14ac:dyDescent="0.25">
      <c r="A247" s="34"/>
      <c r="B247" s="46" t="s">
        <v>79</v>
      </c>
      <c r="C247" s="14"/>
      <c r="D247" s="14"/>
      <c r="E247" s="15">
        <f t="shared" si="59"/>
        <v>0</v>
      </c>
      <c r="F247" s="16" t="e">
        <f t="shared" si="60"/>
        <v>#DIV/0!</v>
      </c>
    </row>
    <row r="248" spans="1:6" ht="27.95" customHeight="1" x14ac:dyDescent="0.25">
      <c r="A248" s="34"/>
      <c r="B248" s="46" t="s">
        <v>153</v>
      </c>
      <c r="C248" s="14"/>
      <c r="D248" s="14"/>
      <c r="E248" s="15">
        <f t="shared" si="59"/>
        <v>0</v>
      </c>
      <c r="F248" s="16" t="e">
        <f t="shared" si="60"/>
        <v>#DIV/0!</v>
      </c>
    </row>
    <row r="249" spans="1:6" ht="27.95" customHeight="1" x14ac:dyDescent="0.25">
      <c r="A249" s="34"/>
      <c r="B249" s="46" t="s">
        <v>102</v>
      </c>
      <c r="C249" s="14"/>
      <c r="D249" s="14"/>
      <c r="E249" s="15">
        <f t="shared" si="59"/>
        <v>0</v>
      </c>
      <c r="F249" s="16" t="e">
        <f t="shared" si="60"/>
        <v>#DIV/0!</v>
      </c>
    </row>
    <row r="250" spans="1:6" ht="27.95" customHeight="1" x14ac:dyDescent="0.25">
      <c r="A250" s="34"/>
      <c r="B250" s="46" t="s">
        <v>95</v>
      </c>
      <c r="C250" s="14"/>
      <c r="D250" s="14"/>
      <c r="E250" s="15">
        <f t="shared" si="59"/>
        <v>0</v>
      </c>
      <c r="F250" s="16" t="e">
        <f t="shared" si="60"/>
        <v>#DIV/0!</v>
      </c>
    </row>
    <row r="251" spans="1:6" ht="27.95" customHeight="1" x14ac:dyDescent="0.25">
      <c r="A251" s="34"/>
      <c r="B251" s="46" t="s">
        <v>106</v>
      </c>
      <c r="C251" s="14"/>
      <c r="D251" s="14"/>
      <c r="E251" s="15">
        <f t="shared" si="59"/>
        <v>0</v>
      </c>
      <c r="F251" s="16" t="e">
        <f t="shared" si="60"/>
        <v>#DIV/0!</v>
      </c>
    </row>
    <row r="252" spans="1:6" ht="27.95" customHeight="1" x14ac:dyDescent="0.25">
      <c r="A252" s="34"/>
      <c r="B252" s="46" t="s">
        <v>154</v>
      </c>
      <c r="C252" s="14"/>
      <c r="D252" s="14"/>
      <c r="E252" s="15">
        <f t="shared" si="59"/>
        <v>0</v>
      </c>
      <c r="F252" s="16" t="e">
        <f t="shared" si="60"/>
        <v>#DIV/0!</v>
      </c>
    </row>
    <row r="253" spans="1:6" ht="27.95" customHeight="1" x14ac:dyDescent="0.25">
      <c r="A253" s="34"/>
      <c r="B253" s="46" t="s">
        <v>155</v>
      </c>
      <c r="C253" s="14"/>
      <c r="D253" s="14"/>
      <c r="E253" s="15">
        <f t="shared" si="59"/>
        <v>0</v>
      </c>
      <c r="F253" s="16" t="e">
        <f t="shared" si="60"/>
        <v>#DIV/0!</v>
      </c>
    </row>
    <row r="254" spans="1:6" ht="27.95" customHeight="1" x14ac:dyDescent="0.25">
      <c r="A254" s="34"/>
      <c r="B254" s="46" t="s">
        <v>156</v>
      </c>
      <c r="C254" s="14"/>
      <c r="D254" s="14"/>
      <c r="E254" s="15">
        <f t="shared" si="59"/>
        <v>0</v>
      </c>
      <c r="F254" s="16" t="e">
        <f t="shared" si="60"/>
        <v>#DIV/0!</v>
      </c>
    </row>
    <row r="255" spans="1:6" ht="27.95" customHeight="1" x14ac:dyDescent="0.25">
      <c r="A255" s="34"/>
      <c r="B255" s="46" t="s">
        <v>157</v>
      </c>
      <c r="C255" s="14"/>
      <c r="D255" s="14"/>
      <c r="E255" s="15">
        <f t="shared" si="59"/>
        <v>0</v>
      </c>
      <c r="F255" s="16" t="e">
        <f t="shared" si="60"/>
        <v>#DIV/0!</v>
      </c>
    </row>
    <row r="256" spans="1:6" ht="27.95" customHeight="1" x14ac:dyDescent="0.25">
      <c r="A256" s="34"/>
      <c r="B256" s="46" t="s">
        <v>158</v>
      </c>
      <c r="C256" s="14"/>
      <c r="D256" s="14"/>
      <c r="E256" s="15">
        <f t="shared" si="59"/>
        <v>0</v>
      </c>
      <c r="F256" s="16" t="e">
        <f t="shared" si="60"/>
        <v>#DIV/0!</v>
      </c>
    </row>
    <row r="257" spans="1:6" ht="27.95" customHeight="1" x14ac:dyDescent="0.25">
      <c r="A257" s="34"/>
      <c r="B257" s="46" t="s">
        <v>159</v>
      </c>
      <c r="C257" s="14"/>
      <c r="D257" s="14"/>
      <c r="E257" s="15">
        <f t="shared" si="59"/>
        <v>0</v>
      </c>
      <c r="F257" s="16" t="e">
        <f t="shared" si="60"/>
        <v>#DIV/0!</v>
      </c>
    </row>
    <row r="258" spans="1:6" ht="27.95" hidden="1" customHeight="1" x14ac:dyDescent="0.3">
      <c r="A258" s="40" t="s">
        <v>162</v>
      </c>
    </row>
    <row r="259" spans="1:6" ht="138" customHeight="1" x14ac:dyDescent="0.25">
      <c r="A259" s="68" t="s">
        <v>174</v>
      </c>
      <c r="B259" s="68"/>
      <c r="C259" s="68"/>
      <c r="D259" s="68"/>
      <c r="E259" s="68"/>
      <c r="F259" s="68"/>
    </row>
  </sheetData>
  <sortState ref="A132:B174">
    <sortCondition ref="B131"/>
  </sortState>
  <mergeCells count="39">
    <mergeCell ref="A216:F216"/>
    <mergeCell ref="A57:F57"/>
    <mergeCell ref="A2:F2"/>
    <mergeCell ref="A3:F3"/>
    <mergeCell ref="A27:F27"/>
    <mergeCell ref="A26:F26"/>
    <mergeCell ref="A151:F151"/>
    <mergeCell ref="A13:F13"/>
    <mergeCell ref="A14:F14"/>
    <mergeCell ref="A35:F35"/>
    <mergeCell ref="A36:F36"/>
    <mergeCell ref="A55:F55"/>
    <mergeCell ref="A58:F58"/>
    <mergeCell ref="A82:F82"/>
    <mergeCell ref="A83:F83"/>
    <mergeCell ref="A103:F103"/>
    <mergeCell ref="A104:F104"/>
    <mergeCell ref="A122:F122"/>
    <mergeCell ref="A11:F11"/>
    <mergeCell ref="A24:F24"/>
    <mergeCell ref="A33:F33"/>
    <mergeCell ref="A80:F80"/>
    <mergeCell ref="A101:F101"/>
    <mergeCell ref="A259:F259"/>
    <mergeCell ref="A120:F120"/>
    <mergeCell ref="A135:F135"/>
    <mergeCell ref="A149:F149"/>
    <mergeCell ref="A178:F178"/>
    <mergeCell ref="A206:F206"/>
    <mergeCell ref="A123:F123"/>
    <mergeCell ref="A152:F152"/>
    <mergeCell ref="A209:F209"/>
    <mergeCell ref="A218:F218"/>
    <mergeCell ref="A219:F219"/>
    <mergeCell ref="A137:F137"/>
    <mergeCell ref="A138:F138"/>
    <mergeCell ref="A180:F180"/>
    <mergeCell ref="A181:F181"/>
    <mergeCell ref="A208:F208"/>
  </mergeCells>
  <pageMargins left="0.5" right="0.5" top="0.5" bottom="0.5" header="0.5" footer="0.5"/>
  <pageSetup orientation="portrait" horizontalDpi="1200" verticalDpi="1200" r:id="rId1"/>
  <ignoredErrors>
    <ignoredError sqref="E1:L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workbookViewId="0">
      <selection activeCell="A2" sqref="A2:F2"/>
    </sheetView>
  </sheetViews>
  <sheetFormatPr defaultRowHeight="15.75" x14ac:dyDescent="0.25"/>
  <cols>
    <col min="1" max="1" width="5" bestFit="1" customWidth="1"/>
    <col min="2" max="2" width="9.875" bestFit="1" customWidth="1"/>
    <col min="3" max="4" width="6.625" bestFit="1" customWidth="1"/>
    <col min="5" max="5" width="6.125" bestFit="1" customWidth="1"/>
    <col min="6" max="6" width="9.5" bestFit="1" customWidth="1"/>
  </cols>
  <sheetData>
    <row r="1" spans="1:6" ht="18.75" x14ac:dyDescent="0.25">
      <c r="A1" s="76" t="s">
        <v>0</v>
      </c>
      <c r="B1" s="75"/>
      <c r="C1" s="75"/>
      <c r="D1" s="75"/>
      <c r="E1" s="75"/>
      <c r="F1" s="75"/>
    </row>
    <row r="2" spans="1:6" ht="33.75" x14ac:dyDescent="0.25">
      <c r="A2" s="90" t="s">
        <v>74</v>
      </c>
      <c r="B2" s="91"/>
      <c r="C2" s="91"/>
      <c r="D2" s="91"/>
      <c r="E2" s="91"/>
      <c r="F2" s="92"/>
    </row>
    <row r="3" spans="1:6" ht="18.75" x14ac:dyDescent="0.25">
      <c r="A3" s="5"/>
      <c r="B3" s="6" t="s">
        <v>5</v>
      </c>
      <c r="C3" s="7" t="s">
        <v>4</v>
      </c>
      <c r="D3" s="7" t="s">
        <v>6</v>
      </c>
      <c r="E3" s="7" t="s">
        <v>1</v>
      </c>
      <c r="F3" s="7" t="s">
        <v>2</v>
      </c>
    </row>
    <row r="4" spans="1:6" ht="22.5" x14ac:dyDescent="0.25">
      <c r="A4" s="8" t="s">
        <v>72</v>
      </c>
      <c r="B4" s="9" t="s">
        <v>3</v>
      </c>
      <c r="C4" s="10"/>
      <c r="D4" s="10"/>
      <c r="E4" s="11">
        <f>D4-C4</f>
        <v>0</v>
      </c>
      <c r="F4" s="12" t="e">
        <f>(E4/C4)</f>
        <v>#DIV/0!</v>
      </c>
    </row>
    <row r="5" spans="1:6" ht="47.25" x14ac:dyDescent="0.25">
      <c r="A5" s="13">
        <v>1</v>
      </c>
      <c r="B5" s="4" t="s">
        <v>77</v>
      </c>
      <c r="C5" s="14"/>
      <c r="D5" s="14"/>
      <c r="E5" s="11">
        <f>D5-C5</f>
        <v>0</v>
      </c>
      <c r="F5" s="12" t="e">
        <f>(E5/C5)</f>
        <v>#DIV/0!</v>
      </c>
    </row>
    <row r="6" spans="1:6" ht="31.5" x14ac:dyDescent="0.25">
      <c r="A6" s="14">
        <f>A5+1</f>
        <v>2</v>
      </c>
      <c r="B6" s="4" t="s">
        <v>75</v>
      </c>
      <c r="C6" s="14"/>
      <c r="D6" s="14"/>
      <c r="E6" s="11">
        <f>D6-C6</f>
        <v>0</v>
      </c>
      <c r="F6" s="12" t="e">
        <f>(E6/C6)</f>
        <v>#DIV/0!</v>
      </c>
    </row>
    <row r="7" spans="1:6" ht="31.5" x14ac:dyDescent="0.25">
      <c r="A7" s="14">
        <f>A6+1</f>
        <v>3</v>
      </c>
      <c r="B7" s="4" t="s">
        <v>81</v>
      </c>
      <c r="C7" s="14"/>
      <c r="D7" s="14"/>
      <c r="E7" s="11">
        <f>D7-C7</f>
        <v>0</v>
      </c>
      <c r="F7" s="12" t="e">
        <f>(E7/C7)</f>
        <v>#DIV/0!</v>
      </c>
    </row>
    <row r="8" spans="1:6" ht="31.5" x14ac:dyDescent="0.25">
      <c r="A8" s="14">
        <f>A7+1</f>
        <v>4</v>
      </c>
      <c r="B8" s="4" t="s">
        <v>76</v>
      </c>
      <c r="C8" s="14"/>
      <c r="D8" s="14"/>
      <c r="E8" s="11">
        <f>D8-C8</f>
        <v>0</v>
      </c>
      <c r="F8" s="12" t="e">
        <f>(E8/C8)</f>
        <v>#DIV/0!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پناهی</dc:creator>
  <cp:lastModifiedBy>DG TECH</cp:lastModifiedBy>
  <cp:lastPrinted>2021-04-18T09:04:59Z</cp:lastPrinted>
  <dcterms:created xsi:type="dcterms:W3CDTF">2020-11-29T12:12:29Z</dcterms:created>
  <dcterms:modified xsi:type="dcterms:W3CDTF">2026-05-02T10:07:56Z</dcterms:modified>
</cp:coreProperties>
</file>