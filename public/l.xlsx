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 TECH\Desktop\react2\jahani\public\"/>
    </mc:Choice>
  </mc:AlternateContent>
  <bookViews>
    <workbookView xWindow="0" yWindow="0" windowWidth="20490" windowHeight="7620"/>
  </bookViews>
  <sheets>
    <sheet name="Sheet1" sheetId="1" r:id="rId1"/>
    <sheet name="Sheet2" sheetId="5" r:id="rId2"/>
    <sheet name="Sheet3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6" l="1"/>
  <c r="F18" i="6" s="1"/>
  <c r="F17" i="6"/>
  <c r="E17" i="6"/>
  <c r="E16" i="6"/>
  <c r="F16" i="6" s="1"/>
  <c r="E15" i="6"/>
  <c r="F15" i="6" s="1"/>
  <c r="F14" i="6"/>
  <c r="E14" i="6"/>
  <c r="F13" i="6"/>
  <c r="E13" i="6"/>
  <c r="E12" i="6"/>
  <c r="F12" i="6" s="1"/>
  <c r="E11" i="6"/>
  <c r="F11" i="6" s="1"/>
  <c r="F10" i="6"/>
  <c r="E10" i="6"/>
  <c r="F9" i="6"/>
  <c r="E9" i="6"/>
  <c r="E8" i="6"/>
  <c r="F8" i="6" s="1"/>
  <c r="E7" i="6"/>
  <c r="F7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F6" i="6"/>
  <c r="E6" i="6"/>
  <c r="A6" i="6"/>
  <c r="F5" i="6"/>
  <c r="E5" i="6"/>
  <c r="E4" i="6"/>
  <c r="F4" i="6" s="1"/>
  <c r="E22" i="5"/>
  <c r="F22" i="5" s="1"/>
  <c r="F21" i="5"/>
  <c r="E21" i="5"/>
  <c r="E20" i="5"/>
  <c r="F20" i="5" s="1"/>
  <c r="E19" i="5"/>
  <c r="F19" i="5" s="1"/>
  <c r="E18" i="5"/>
  <c r="F18" i="5" s="1"/>
  <c r="F17" i="5"/>
  <c r="E17" i="5"/>
  <c r="E16" i="5"/>
  <c r="F16" i="5" s="1"/>
  <c r="E15" i="5"/>
  <c r="F15" i="5" s="1"/>
  <c r="E14" i="5"/>
  <c r="F14" i="5" s="1"/>
  <c r="F13" i="5"/>
  <c r="E13" i="5"/>
  <c r="E12" i="5"/>
  <c r="F12" i="5" s="1"/>
  <c r="E11" i="5"/>
  <c r="F11" i="5" s="1"/>
  <c r="E10" i="5"/>
  <c r="F10" i="5" s="1"/>
  <c r="F9" i="5"/>
  <c r="E9" i="5"/>
  <c r="E8" i="5"/>
  <c r="F8" i="5" s="1"/>
  <c r="E7" i="5"/>
  <c r="F7" i="5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F6" i="5"/>
  <c r="E6" i="5"/>
  <c r="A6" i="5"/>
  <c r="F5" i="5"/>
  <c r="E5" i="5"/>
  <c r="E4" i="5"/>
  <c r="F4" i="5" s="1"/>
  <c r="E8" i="1" l="1"/>
  <c r="F8" i="1" s="1"/>
  <c r="E7" i="1"/>
  <c r="F7" i="1" s="1"/>
  <c r="E6" i="1"/>
  <c r="F6" i="1" s="1"/>
  <c r="E5" i="1"/>
  <c r="F5" i="1" s="1"/>
  <c r="A5" i="1"/>
  <c r="A6" i="1" s="1"/>
  <c r="A7" i="1" s="1"/>
  <c r="E4" i="1"/>
  <c r="F4" i="1" s="1"/>
</calcChain>
</file>

<file path=xl/sharedStrings.xml><?xml version="1.0" encoding="utf-8"?>
<sst xmlns="http://schemas.openxmlformats.org/spreadsheetml/2006/main" count="63" uniqueCount="47">
  <si>
    <t>کارگزاری آینده نگر خوارزمی به مدیریت دکتر ذوقی 09123011311 و 61914000-021 (داخلی 408 الی 411)</t>
  </si>
  <si>
    <t xml:space="preserve">مقایسه قیمت پایه پلی وینیل کلراید PVC(S) </t>
  </si>
  <si>
    <t xml:space="preserve">نام محصول </t>
  </si>
  <si>
    <t>تاریخ 1</t>
  </si>
  <si>
    <t>تاریخ 2</t>
  </si>
  <si>
    <t>اختلاف</t>
  </si>
  <si>
    <t>درصد تغییر</t>
  </si>
  <si>
    <t>ردیف</t>
  </si>
  <si>
    <t>نرخ دلار</t>
  </si>
  <si>
    <t>پلی وینیل کلراید S65</t>
  </si>
  <si>
    <t>پلی وینیل کلراید S57</t>
  </si>
  <si>
    <t>پلی وینیل کلراید S70</t>
  </si>
  <si>
    <t>پلی وینیل کلرایدS70(پزشکی)</t>
  </si>
  <si>
    <r>
      <rPr>
        <b/>
        <sz val="22"/>
        <color theme="1"/>
        <rFont val="B Nazanin"/>
        <charset val="178"/>
      </rPr>
      <t>مقایسه قیمت پایه محصولات پلی استایرن</t>
    </r>
    <r>
      <rPr>
        <sz val="12"/>
        <color theme="1"/>
        <rFont val="B Nazanin"/>
        <charset val="178"/>
      </rPr>
      <t xml:space="preserve"> </t>
    </r>
  </si>
  <si>
    <t>پلی استایرن مقاوم 7240</t>
  </si>
  <si>
    <t>پلی استایرن مقاوم 6045</t>
  </si>
  <si>
    <t>پلی استایرن مقاوم 4512</t>
  </si>
  <si>
    <t>پلی استایرن معمولی MP08</t>
  </si>
  <si>
    <t>پلی استایرن معمولی 32N</t>
  </si>
  <si>
    <t>پلی استایرن معمولی 324-G</t>
  </si>
  <si>
    <t>پلی استایرن معمولی 1551</t>
  </si>
  <si>
    <t>پلی استایرن انبساطی105-F</t>
  </si>
  <si>
    <t>پلی استایرن انبساطی نسوز  400-F</t>
  </si>
  <si>
    <t>پلی استایرن انبساطی نسوز  200-F</t>
  </si>
  <si>
    <t>پلی استایرن انبساطی HS‏121</t>
  </si>
  <si>
    <t>پلی استایرن انبساطی FC‏522</t>
  </si>
  <si>
    <t>پلی استایرن انبساطی FC‏422</t>
  </si>
  <si>
    <t>پلی استایرن انبساطی 526WP</t>
  </si>
  <si>
    <t>پلی استایرن انبساطی 405-F</t>
  </si>
  <si>
    <t>پلی استایرن انبساطی 305-F</t>
  </si>
  <si>
    <t>پلی استایرن انبساطی 205-F</t>
  </si>
  <si>
    <t>پلی استایرن انبساطی‏ R200</t>
  </si>
  <si>
    <r>
      <rPr>
        <b/>
        <sz val="22"/>
        <color theme="1"/>
        <rFont val="B Nazanin"/>
        <charset val="178"/>
      </rPr>
      <t>مقایسه قیمت پایه محصولات پلی اتیلن سنگین</t>
    </r>
    <r>
      <rPr>
        <sz val="12"/>
        <color theme="1"/>
        <rFont val="B Nazanin"/>
        <charset val="178"/>
      </rPr>
      <t xml:space="preserve"> </t>
    </r>
  </si>
  <si>
    <t>پلی اتیلن سنگین فیلم ‏MFI3713</t>
  </si>
  <si>
    <t>پلی اتیلن سنگین فیلم EX5</t>
  </si>
  <si>
    <t>پلی اتیلن سنگین دورانی 3840UA</t>
  </si>
  <si>
    <t>پلی اتیلن سنگین تزریقی52B18UV</t>
  </si>
  <si>
    <t>پلی اتیلن سنگین تزریقی I‏4</t>
  </si>
  <si>
    <t>پلی اتیلن سنگین تزریقی 52518</t>
  </si>
  <si>
    <t>پلی اتیلن سنگین تزریقی 52511</t>
  </si>
  <si>
    <t>پلی اتیلن سنگین تزریقی 5030SA</t>
  </si>
  <si>
    <t>پلی اتیلن سنگین بادی 0035</t>
  </si>
  <si>
    <t>پلی اتیلن سنگین اکستروژنARM CRP100 black</t>
  </si>
  <si>
    <t>پلی اتیلن سنگین اکستروژن EX3</t>
  </si>
  <si>
    <t>پلی اتیلن سنگین اکستروژن  CRP100‏</t>
  </si>
  <si>
    <t>پلی اتیلن سنگین اکستروژن 7700M</t>
  </si>
  <si>
    <t>پلی اتیلن سنگین اکستروژن 4460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</si>
</sst>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22"/>
      <color theme="1"/>
      <name val="B Nazanin"/>
      <charset val="178"/>
    </font>
    <font>
      <b/>
      <sz val="14"/>
      <color rgb="FF002060"/>
      <name val="B Nazanin"/>
      <charset val="178"/>
    </font>
    <font>
      <b/>
      <sz val="12"/>
      <color rgb="FF002060"/>
      <name val="B Nazanin"/>
      <charset val="178"/>
    </font>
    <font>
      <sz val="12"/>
      <color theme="1" tint="4.9989318521683403E-2"/>
      <name val="B Nazanin"/>
      <charset val="178"/>
    </font>
    <font>
      <sz val="10"/>
      <name val="B Nazanin"/>
      <charset val="178"/>
    </font>
    <font>
      <b/>
      <sz val="12"/>
      <color theme="1" tint="4.9989318521683403E-2"/>
      <name val="B Nazanin"/>
      <charset val="178"/>
    </font>
    <font>
      <b/>
      <sz val="1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2" fillId="3" borderId="5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 readingOrder="2"/>
    </xf>
    <xf numFmtId="3" fontId="2" fillId="0" borderId="1" xfId="0" applyNumberFormat="1" applyFont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 readingOrder="2"/>
    </xf>
    <xf numFmtId="3" fontId="4" fillId="4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2295525</xdr:colOff>
      <xdr:row>8</xdr:row>
      <xdr:rowOff>0</xdr:rowOff>
    </xdr:from>
    <xdr:ext cx="5879536" cy="170955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76D5BA-0FD3-4A07-AED3-B27F453D8E19}"/>
            </a:ext>
          </a:extLst>
        </xdr:cNvPr>
        <xdr:cNvSpPr/>
      </xdr:nvSpPr>
      <xdr:spPr>
        <a:xfrm rot="21008615">
          <a:off x="11232648914" y="5105400"/>
          <a:ext cx="5879536" cy="1709556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r" rtl="1"/>
          <a:r>
            <a:rPr lang="fa-IR" sz="4000" b="1" cap="none" spc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کارگزاری</a:t>
          </a:r>
          <a:r>
            <a:rPr lang="fa-IR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 آینده نگر خوارزمی </a:t>
          </a:r>
          <a:r>
            <a:rPr lang="en-US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/>
          </a:r>
          <a:br>
            <a:rPr lang="en-US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</a:br>
          <a:r>
            <a:rPr lang="fa-IR" sz="4000" b="1" cap="none" spc="0" baseline="0">
              <a:ln/>
              <a:solidFill>
                <a:schemeClr val="accent5">
                  <a:lumMod val="75000"/>
                  <a:alpha val="35000"/>
                </a:schemeClr>
              </a:solidFill>
              <a:effectLst/>
              <a:cs typeface="B Nazanin" panose="00000400000000000000" pitchFamily="2" charset="-78"/>
            </a:rPr>
            <a:t>311 11 30 0912</a:t>
          </a:r>
          <a:endParaRPr lang="en-US" sz="4000" b="1" cap="none" spc="0">
            <a:ln/>
            <a:solidFill>
              <a:schemeClr val="accent5">
                <a:lumMod val="75000"/>
                <a:alpha val="35000"/>
              </a:schemeClr>
            </a:solidFill>
            <a:effectLst/>
            <a:cs typeface="B Nazanin" panose="00000400000000000000" pitchFamily="2" charset="-7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tabSelected="1" workbookViewId="0">
      <selection activeCell="A9" sqref="A9:XFD53"/>
    </sheetView>
  </sheetViews>
  <sheetFormatPr defaultRowHeight="15" x14ac:dyDescent="0.25"/>
  <cols>
    <col min="1" max="1" width="7.85546875" customWidth="1"/>
    <col min="2" max="2" width="29.42578125" customWidth="1"/>
    <col min="3" max="6" width="15.7109375" customWidth="1"/>
  </cols>
  <sheetData>
    <row r="1" spans="1:6" ht="18.75" x14ac:dyDescent="0.25">
      <c r="A1" s="19" t="s">
        <v>0</v>
      </c>
      <c r="B1" s="20"/>
      <c r="C1" s="20"/>
      <c r="D1" s="20"/>
      <c r="E1" s="20"/>
      <c r="F1" s="20"/>
    </row>
    <row r="2" spans="1:6" ht="33.75" x14ac:dyDescent="0.25">
      <c r="A2" s="21" t="s">
        <v>1</v>
      </c>
      <c r="B2" s="22"/>
      <c r="C2" s="22"/>
      <c r="D2" s="22"/>
      <c r="E2" s="22"/>
      <c r="F2" s="23"/>
    </row>
    <row r="3" spans="1:6" ht="18.75" x14ac:dyDescent="0.25">
      <c r="A3" s="1"/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2.5" x14ac:dyDescent="0.25">
      <c r="A4" s="4" t="s">
        <v>7</v>
      </c>
      <c r="B4" s="5" t="s">
        <v>8</v>
      </c>
      <c r="C4" s="6"/>
      <c r="D4" s="6"/>
      <c r="E4" s="7">
        <f>D4-C4</f>
        <v>0</v>
      </c>
      <c r="F4" s="8" t="e">
        <f>(E4/C4)</f>
        <v>#DIV/0!</v>
      </c>
    </row>
    <row r="5" spans="1:6" ht="18.75" x14ac:dyDescent="0.25">
      <c r="A5" s="9" t="e">
        <f>#REF!+1</f>
        <v>#REF!</v>
      </c>
      <c r="B5" s="10" t="s">
        <v>9</v>
      </c>
      <c r="C5" s="11"/>
      <c r="D5" s="11"/>
      <c r="E5" s="7">
        <f>D5-C5</f>
        <v>0</v>
      </c>
      <c r="F5" s="8" t="e">
        <f>(E5/C5)</f>
        <v>#DIV/0!</v>
      </c>
    </row>
    <row r="6" spans="1:6" ht="18.75" x14ac:dyDescent="0.25">
      <c r="A6" s="11" t="e">
        <f>A5+1</f>
        <v>#REF!</v>
      </c>
      <c r="B6" s="10" t="s">
        <v>10</v>
      </c>
      <c r="C6" s="11"/>
      <c r="D6" s="11"/>
      <c r="E6" s="7">
        <f>D6-C6</f>
        <v>0</v>
      </c>
      <c r="F6" s="8" t="e">
        <f>(E6/C6)</f>
        <v>#DIV/0!</v>
      </c>
    </row>
    <row r="7" spans="1:6" ht="18.75" x14ac:dyDescent="0.25">
      <c r="A7" s="11" t="e">
        <f>A6+1</f>
        <v>#REF!</v>
      </c>
      <c r="B7" s="10" t="s">
        <v>11</v>
      </c>
      <c r="C7" s="11"/>
      <c r="D7" s="11"/>
      <c r="E7" s="7">
        <f>D7-C7</f>
        <v>0</v>
      </c>
      <c r="F7" s="8" t="e">
        <f>(E7/C7)</f>
        <v>#DIV/0!</v>
      </c>
    </row>
    <row r="8" spans="1:6" ht="18.75" x14ac:dyDescent="0.25">
      <c r="A8" s="11">
        <v>1</v>
      </c>
      <c r="B8" s="10" t="s">
        <v>12</v>
      </c>
      <c r="C8" s="11"/>
      <c r="D8" s="11"/>
      <c r="E8" s="7">
        <f>D8-C8</f>
        <v>0</v>
      </c>
      <c r="F8" s="8" t="e">
        <f>(E8/C8)</f>
        <v>#DIV/0!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rightToLeft="1" workbookViewId="0">
      <selection activeCell="D26" sqref="D26"/>
    </sheetView>
  </sheetViews>
  <sheetFormatPr defaultRowHeight="15" x14ac:dyDescent="0.25"/>
  <sheetData>
    <row r="1" spans="1:6" ht="18.75" x14ac:dyDescent="0.25">
      <c r="A1" s="19" t="s">
        <v>0</v>
      </c>
      <c r="B1" s="19"/>
      <c r="C1" s="19"/>
      <c r="D1" s="19"/>
      <c r="E1" s="19"/>
      <c r="F1" s="19"/>
    </row>
    <row r="2" spans="1:6" ht="33.75" x14ac:dyDescent="0.25">
      <c r="A2" s="20" t="s">
        <v>13</v>
      </c>
      <c r="B2" s="20"/>
      <c r="C2" s="20"/>
      <c r="D2" s="20"/>
      <c r="E2" s="20"/>
      <c r="F2" s="20"/>
    </row>
    <row r="3" spans="1:6" ht="18.75" x14ac:dyDescent="0.25">
      <c r="A3" s="17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2.5" x14ac:dyDescent="0.25">
      <c r="A4" s="4" t="s">
        <v>7</v>
      </c>
      <c r="B4" s="12" t="s">
        <v>8</v>
      </c>
      <c r="C4" s="16"/>
      <c r="D4" s="16"/>
      <c r="E4" s="13">
        <f t="shared" ref="E4:E22" si="0">D4-C4</f>
        <v>0</v>
      </c>
      <c r="F4" s="14" t="e">
        <f t="shared" ref="F4:F22" si="1">(E4/C4)</f>
        <v>#DIV/0!</v>
      </c>
    </row>
    <row r="5" spans="1:6" ht="47.25" x14ac:dyDescent="0.25">
      <c r="A5" s="11">
        <v>1</v>
      </c>
      <c r="B5" s="15" t="s">
        <v>14</v>
      </c>
      <c r="C5" s="11"/>
      <c r="D5" s="11"/>
      <c r="E5" s="7">
        <f t="shared" si="0"/>
        <v>0</v>
      </c>
      <c r="F5" s="8" t="e">
        <f t="shared" si="1"/>
        <v>#DIV/0!</v>
      </c>
    </row>
    <row r="6" spans="1:6" ht="47.25" x14ac:dyDescent="0.25">
      <c r="A6" s="11">
        <f t="shared" ref="A6:A22" si="2">A5+1</f>
        <v>2</v>
      </c>
      <c r="B6" s="15" t="s">
        <v>15</v>
      </c>
      <c r="C6" s="11"/>
      <c r="D6" s="11"/>
      <c r="E6" s="7">
        <f t="shared" si="0"/>
        <v>0</v>
      </c>
      <c r="F6" s="8" t="e">
        <f t="shared" si="1"/>
        <v>#DIV/0!</v>
      </c>
    </row>
    <row r="7" spans="1:6" ht="47.25" x14ac:dyDescent="0.25">
      <c r="A7" s="11">
        <f t="shared" si="2"/>
        <v>3</v>
      </c>
      <c r="B7" s="15" t="s">
        <v>16</v>
      </c>
      <c r="C7" s="11"/>
      <c r="D7" s="11"/>
      <c r="E7" s="7">
        <f t="shared" si="0"/>
        <v>0</v>
      </c>
      <c r="F7" s="8" t="e">
        <f t="shared" si="1"/>
        <v>#DIV/0!</v>
      </c>
    </row>
    <row r="8" spans="1:6" ht="63" x14ac:dyDescent="0.25">
      <c r="A8" s="11">
        <f t="shared" si="2"/>
        <v>4</v>
      </c>
      <c r="B8" s="15" t="s">
        <v>17</v>
      </c>
      <c r="C8" s="11"/>
      <c r="D8" s="11"/>
      <c r="E8" s="7">
        <f t="shared" si="0"/>
        <v>0</v>
      </c>
      <c r="F8" s="8" t="e">
        <f t="shared" si="1"/>
        <v>#DIV/0!</v>
      </c>
    </row>
    <row r="9" spans="1:6" ht="63" x14ac:dyDescent="0.25">
      <c r="A9" s="11">
        <f t="shared" si="2"/>
        <v>5</v>
      </c>
      <c r="B9" s="15" t="s">
        <v>18</v>
      </c>
      <c r="C9" s="11"/>
      <c r="D9" s="11"/>
      <c r="E9" s="7">
        <f t="shared" si="0"/>
        <v>0</v>
      </c>
      <c r="F9" s="8" t="e">
        <f t="shared" si="1"/>
        <v>#DIV/0!</v>
      </c>
    </row>
    <row r="10" spans="1:6" ht="63" x14ac:dyDescent="0.25">
      <c r="A10" s="11">
        <f t="shared" si="2"/>
        <v>6</v>
      </c>
      <c r="B10" s="15" t="s">
        <v>19</v>
      </c>
      <c r="C10" s="11"/>
      <c r="D10" s="11"/>
      <c r="E10" s="7">
        <f t="shared" si="0"/>
        <v>0</v>
      </c>
      <c r="F10" s="8" t="e">
        <f t="shared" si="1"/>
        <v>#DIV/0!</v>
      </c>
    </row>
    <row r="11" spans="1:6" ht="63" x14ac:dyDescent="0.25">
      <c r="A11" s="11">
        <f t="shared" si="2"/>
        <v>7</v>
      </c>
      <c r="B11" s="15" t="s">
        <v>20</v>
      </c>
      <c r="C11" s="11"/>
      <c r="D11" s="11"/>
      <c r="E11" s="7">
        <f t="shared" si="0"/>
        <v>0</v>
      </c>
      <c r="F11" s="8" t="e">
        <f t="shared" si="1"/>
        <v>#DIV/0!</v>
      </c>
    </row>
    <row r="12" spans="1:6" ht="63" x14ac:dyDescent="0.25">
      <c r="A12" s="11">
        <f t="shared" si="2"/>
        <v>8</v>
      </c>
      <c r="B12" s="15" t="s">
        <v>21</v>
      </c>
      <c r="C12" s="11"/>
      <c r="D12" s="11"/>
      <c r="E12" s="7">
        <f t="shared" si="0"/>
        <v>0</v>
      </c>
      <c r="F12" s="8" t="e">
        <f t="shared" si="1"/>
        <v>#DIV/0!</v>
      </c>
    </row>
    <row r="13" spans="1:6" ht="78.75" x14ac:dyDescent="0.25">
      <c r="A13" s="11">
        <f t="shared" si="2"/>
        <v>9</v>
      </c>
      <c r="B13" s="15" t="s">
        <v>22</v>
      </c>
      <c r="C13" s="11"/>
      <c r="D13" s="11"/>
      <c r="E13" s="7">
        <f t="shared" si="0"/>
        <v>0</v>
      </c>
      <c r="F13" s="8" t="e">
        <f t="shared" si="1"/>
        <v>#DIV/0!</v>
      </c>
    </row>
    <row r="14" spans="1:6" ht="78.75" x14ac:dyDescent="0.25">
      <c r="A14" s="11">
        <f t="shared" si="2"/>
        <v>10</v>
      </c>
      <c r="B14" s="15" t="s">
        <v>23</v>
      </c>
      <c r="C14" s="11"/>
      <c r="D14" s="11"/>
      <c r="E14" s="7">
        <f t="shared" si="0"/>
        <v>0</v>
      </c>
      <c r="F14" s="8" t="e">
        <f t="shared" si="1"/>
        <v>#DIV/0!</v>
      </c>
    </row>
    <row r="15" spans="1:6" ht="63" x14ac:dyDescent="0.25">
      <c r="A15" s="11">
        <f t="shared" si="2"/>
        <v>11</v>
      </c>
      <c r="B15" s="15" t="s">
        <v>24</v>
      </c>
      <c r="C15" s="11"/>
      <c r="D15" s="11"/>
      <c r="E15" s="7">
        <f t="shared" si="0"/>
        <v>0</v>
      </c>
      <c r="F15" s="8" t="e">
        <f t="shared" si="1"/>
        <v>#DIV/0!</v>
      </c>
    </row>
    <row r="16" spans="1:6" ht="63" x14ac:dyDescent="0.25">
      <c r="A16" s="11">
        <f t="shared" si="2"/>
        <v>12</v>
      </c>
      <c r="B16" s="15" t="s">
        <v>25</v>
      </c>
      <c r="C16" s="11"/>
      <c r="D16" s="11"/>
      <c r="E16" s="7">
        <f t="shared" si="0"/>
        <v>0</v>
      </c>
      <c r="F16" s="8" t="e">
        <f t="shared" si="1"/>
        <v>#DIV/0!</v>
      </c>
    </row>
    <row r="17" spans="1:6" ht="63" x14ac:dyDescent="0.25">
      <c r="A17" s="11">
        <f t="shared" si="2"/>
        <v>13</v>
      </c>
      <c r="B17" s="15" t="s">
        <v>26</v>
      </c>
      <c r="C17" s="11"/>
      <c r="D17" s="11"/>
      <c r="E17" s="7">
        <f t="shared" si="0"/>
        <v>0</v>
      </c>
      <c r="F17" s="8" t="e">
        <f t="shared" si="1"/>
        <v>#DIV/0!</v>
      </c>
    </row>
    <row r="18" spans="1:6" ht="63" x14ac:dyDescent="0.25">
      <c r="A18" s="11">
        <f t="shared" si="2"/>
        <v>14</v>
      </c>
      <c r="B18" s="15" t="s">
        <v>27</v>
      </c>
      <c r="C18" s="11"/>
      <c r="D18" s="11"/>
      <c r="E18" s="7">
        <f t="shared" si="0"/>
        <v>0</v>
      </c>
      <c r="F18" s="8" t="e">
        <f t="shared" si="1"/>
        <v>#DIV/0!</v>
      </c>
    </row>
    <row r="19" spans="1:6" ht="63" x14ac:dyDescent="0.25">
      <c r="A19" s="11">
        <f t="shared" si="2"/>
        <v>15</v>
      </c>
      <c r="B19" s="15" t="s">
        <v>28</v>
      </c>
      <c r="C19" s="11"/>
      <c r="D19" s="11"/>
      <c r="E19" s="7">
        <f t="shared" si="0"/>
        <v>0</v>
      </c>
      <c r="F19" s="8" t="e">
        <f t="shared" si="1"/>
        <v>#DIV/0!</v>
      </c>
    </row>
    <row r="20" spans="1:6" ht="63" x14ac:dyDescent="0.25">
      <c r="A20" s="11">
        <f t="shared" si="2"/>
        <v>16</v>
      </c>
      <c r="B20" s="15" t="s">
        <v>29</v>
      </c>
      <c r="C20" s="11"/>
      <c r="D20" s="11"/>
      <c r="E20" s="7">
        <f t="shared" si="0"/>
        <v>0</v>
      </c>
      <c r="F20" s="8" t="e">
        <f t="shared" si="1"/>
        <v>#DIV/0!</v>
      </c>
    </row>
    <row r="21" spans="1:6" ht="63" x14ac:dyDescent="0.25">
      <c r="A21" s="11">
        <f t="shared" si="2"/>
        <v>17</v>
      </c>
      <c r="B21" s="15" t="s">
        <v>30</v>
      </c>
      <c r="C21" s="11"/>
      <c r="D21" s="11"/>
      <c r="E21" s="7">
        <f t="shared" si="0"/>
        <v>0</v>
      </c>
      <c r="F21" s="8" t="e">
        <f t="shared" si="1"/>
        <v>#DIV/0!</v>
      </c>
    </row>
    <row r="22" spans="1:6" ht="63" x14ac:dyDescent="0.25">
      <c r="A22" s="11">
        <f t="shared" si="2"/>
        <v>18</v>
      </c>
      <c r="B22" s="15" t="s">
        <v>31</v>
      </c>
      <c r="C22" s="11"/>
      <c r="D22" s="11"/>
      <c r="E22" s="7">
        <f t="shared" si="0"/>
        <v>0</v>
      </c>
      <c r="F22" s="8" t="e">
        <f t="shared" si="1"/>
        <v>#DIV/0!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rightToLeft="1" workbookViewId="0">
      <selection activeCell="I5" sqref="I5"/>
    </sheetView>
  </sheetViews>
  <sheetFormatPr defaultRowHeight="15" x14ac:dyDescent="0.25"/>
  <sheetData>
    <row r="1" spans="1:6" ht="18.75" x14ac:dyDescent="0.25">
      <c r="A1" s="19" t="s">
        <v>0</v>
      </c>
      <c r="B1" s="19"/>
      <c r="C1" s="19"/>
      <c r="D1" s="19"/>
      <c r="E1" s="19"/>
      <c r="F1" s="19"/>
    </row>
    <row r="2" spans="1:6" ht="33.75" x14ac:dyDescent="0.25">
      <c r="A2" s="20" t="s">
        <v>32</v>
      </c>
      <c r="B2" s="20"/>
      <c r="C2" s="20"/>
      <c r="D2" s="20"/>
      <c r="E2" s="20"/>
      <c r="F2" s="20"/>
    </row>
    <row r="3" spans="1:6" ht="18.75" x14ac:dyDescent="0.25">
      <c r="A3" s="18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2.5" x14ac:dyDescent="0.25">
      <c r="A4" s="4" t="s">
        <v>7</v>
      </c>
      <c r="B4" s="12" t="s">
        <v>8</v>
      </c>
      <c r="C4" s="16"/>
      <c r="D4" s="16"/>
      <c r="E4" s="13">
        <f t="shared" ref="E4:E18" si="0">D4-C4</f>
        <v>0</v>
      </c>
      <c r="F4" s="14" t="e">
        <f t="shared" ref="F4:F18" si="1">(E4/C4)</f>
        <v>#DIV/0!</v>
      </c>
    </row>
    <row r="5" spans="1:6" ht="63" x14ac:dyDescent="0.25">
      <c r="A5" s="11">
        <v>1</v>
      </c>
      <c r="B5" s="15" t="s">
        <v>33</v>
      </c>
      <c r="C5" s="11"/>
      <c r="D5" s="11"/>
      <c r="E5" s="7">
        <f t="shared" si="0"/>
        <v>0</v>
      </c>
      <c r="F5" s="8" t="e">
        <f t="shared" si="1"/>
        <v>#DIV/0!</v>
      </c>
    </row>
    <row r="6" spans="1:6" ht="47.25" x14ac:dyDescent="0.25">
      <c r="A6" s="11">
        <f>A5+1</f>
        <v>2</v>
      </c>
      <c r="B6" s="15" t="s">
        <v>34</v>
      </c>
      <c r="C6" s="11"/>
      <c r="D6" s="11"/>
      <c r="E6" s="7">
        <f t="shared" si="0"/>
        <v>0</v>
      </c>
      <c r="F6" s="8" t="e">
        <f t="shared" si="1"/>
        <v>#DIV/0!</v>
      </c>
    </row>
    <row r="7" spans="1:6" ht="63" x14ac:dyDescent="0.25">
      <c r="A7" s="11">
        <f t="shared" ref="A7:A18" si="2">A6+1</f>
        <v>3</v>
      </c>
      <c r="B7" s="15" t="s">
        <v>35</v>
      </c>
      <c r="C7" s="11"/>
      <c r="D7" s="11"/>
      <c r="E7" s="7">
        <f t="shared" si="0"/>
        <v>0</v>
      </c>
      <c r="F7" s="8" t="e">
        <f t="shared" si="1"/>
        <v>#DIV/0!</v>
      </c>
    </row>
    <row r="8" spans="1:6" ht="63" x14ac:dyDescent="0.25">
      <c r="A8" s="11">
        <f t="shared" si="2"/>
        <v>4</v>
      </c>
      <c r="B8" s="15" t="s">
        <v>36</v>
      </c>
      <c r="C8" s="11"/>
      <c r="D8" s="11"/>
      <c r="E8" s="7">
        <f t="shared" si="0"/>
        <v>0</v>
      </c>
      <c r="F8" s="8" t="e">
        <f t="shared" si="1"/>
        <v>#DIV/0!</v>
      </c>
    </row>
    <row r="9" spans="1:6" ht="47.25" x14ac:dyDescent="0.25">
      <c r="A9" s="11">
        <f t="shared" si="2"/>
        <v>5</v>
      </c>
      <c r="B9" s="15" t="s">
        <v>37</v>
      </c>
      <c r="C9" s="11"/>
      <c r="D9" s="11"/>
      <c r="E9" s="7">
        <f t="shared" si="0"/>
        <v>0</v>
      </c>
      <c r="F9" s="8" t="e">
        <f t="shared" si="1"/>
        <v>#DIV/0!</v>
      </c>
    </row>
    <row r="10" spans="1:6" ht="63" x14ac:dyDescent="0.25">
      <c r="A10" s="11">
        <f t="shared" si="2"/>
        <v>6</v>
      </c>
      <c r="B10" s="15" t="s">
        <v>38</v>
      </c>
      <c r="C10" s="11"/>
      <c r="D10" s="11"/>
      <c r="E10" s="7">
        <f t="shared" si="0"/>
        <v>0</v>
      </c>
      <c r="F10" s="8" t="e">
        <f t="shared" si="1"/>
        <v>#DIV/0!</v>
      </c>
    </row>
    <row r="11" spans="1:6" ht="63" x14ac:dyDescent="0.25">
      <c r="A11" s="11">
        <f t="shared" si="2"/>
        <v>7</v>
      </c>
      <c r="B11" s="15" t="s">
        <v>39</v>
      </c>
      <c r="C11" s="11"/>
      <c r="D11" s="11"/>
      <c r="E11" s="7">
        <f t="shared" si="0"/>
        <v>0</v>
      </c>
      <c r="F11" s="8" t="e">
        <f t="shared" si="1"/>
        <v>#DIV/0!</v>
      </c>
    </row>
    <row r="12" spans="1:6" ht="63" x14ac:dyDescent="0.25">
      <c r="A12" s="11">
        <f t="shared" si="2"/>
        <v>8</v>
      </c>
      <c r="B12" s="15" t="s">
        <v>40</v>
      </c>
      <c r="C12" s="11"/>
      <c r="D12" s="11"/>
      <c r="E12" s="7">
        <f t="shared" si="0"/>
        <v>0</v>
      </c>
      <c r="F12" s="8" t="e">
        <f t="shared" si="1"/>
        <v>#DIV/0!</v>
      </c>
    </row>
    <row r="13" spans="1:6" ht="47.25" x14ac:dyDescent="0.25">
      <c r="A13" s="11">
        <f t="shared" si="2"/>
        <v>9</v>
      </c>
      <c r="B13" s="15" t="s">
        <v>41</v>
      </c>
      <c r="C13" s="11"/>
      <c r="D13" s="11"/>
      <c r="E13" s="7">
        <f t="shared" si="0"/>
        <v>0</v>
      </c>
      <c r="F13" s="8" t="e">
        <f t="shared" si="1"/>
        <v>#DIV/0!</v>
      </c>
    </row>
    <row r="14" spans="1:6" ht="94.5" x14ac:dyDescent="0.25">
      <c r="A14" s="11">
        <f t="shared" si="2"/>
        <v>10</v>
      </c>
      <c r="B14" s="15" t="s">
        <v>42</v>
      </c>
      <c r="C14" s="11"/>
      <c r="D14" s="11"/>
      <c r="E14" s="7">
        <f t="shared" si="0"/>
        <v>0</v>
      </c>
      <c r="F14" s="8" t="e">
        <f t="shared" si="1"/>
        <v>#DIV/0!</v>
      </c>
    </row>
    <row r="15" spans="1:6" ht="63" x14ac:dyDescent="0.25">
      <c r="A15" s="11">
        <f t="shared" si="2"/>
        <v>11</v>
      </c>
      <c r="B15" s="15" t="s">
        <v>43</v>
      </c>
      <c r="C15" s="11"/>
      <c r="D15" s="11"/>
      <c r="E15" s="7">
        <f t="shared" si="0"/>
        <v>0</v>
      </c>
      <c r="F15" s="8" t="e">
        <f t="shared" si="1"/>
        <v>#DIV/0!</v>
      </c>
    </row>
    <row r="16" spans="1:6" ht="63" x14ac:dyDescent="0.25">
      <c r="A16" s="11">
        <f t="shared" si="2"/>
        <v>12</v>
      </c>
      <c r="B16" s="15" t="s">
        <v>44</v>
      </c>
      <c r="C16" s="11"/>
      <c r="D16" s="11"/>
      <c r="E16" s="7">
        <f t="shared" si="0"/>
        <v>0</v>
      </c>
      <c r="F16" s="8" t="e">
        <f t="shared" si="1"/>
        <v>#DIV/0!</v>
      </c>
    </row>
    <row r="17" spans="1:6" ht="63" x14ac:dyDescent="0.25">
      <c r="A17" s="11">
        <f t="shared" si="2"/>
        <v>13</v>
      </c>
      <c r="B17" s="15" t="s">
        <v>45</v>
      </c>
      <c r="C17" s="11"/>
      <c r="D17" s="11"/>
      <c r="E17" s="7">
        <f t="shared" si="0"/>
        <v>0</v>
      </c>
      <c r="F17" s="8" t="e">
        <f t="shared" si="1"/>
        <v>#DIV/0!</v>
      </c>
    </row>
    <row r="18" spans="1:6" ht="63" x14ac:dyDescent="0.25">
      <c r="A18" s="11">
        <f t="shared" si="2"/>
        <v>14</v>
      </c>
      <c r="B18" s="15" t="s">
        <v>46</v>
      </c>
      <c r="C18" s="11"/>
      <c r="D18" s="11"/>
      <c r="E18" s="7">
        <f t="shared" si="0"/>
        <v>0</v>
      </c>
      <c r="F18" s="8" t="e">
        <f t="shared" si="1"/>
        <v>#DIV/0!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TECH</dc:creator>
  <cp:lastModifiedBy>DG TECH</cp:lastModifiedBy>
  <dcterms:created xsi:type="dcterms:W3CDTF">2026-02-15T08:46:19Z</dcterms:created>
  <dcterms:modified xsi:type="dcterms:W3CDTF">2026-02-15T09:30:03Z</dcterms:modified>
</cp:coreProperties>
</file>