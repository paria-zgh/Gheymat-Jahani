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checkCompatibility="1" defaultThemeVersion="153222"/>
  <mc:AlternateContent xmlns:mc="http://schemas.openxmlformats.org/markup-compatibility/2006">
    <mc:Choice Requires="x15">
      <x15ac:absPath xmlns:x15ac="http://schemas.microsoft.com/office/spreadsheetml/2010/11/ac" url="C:\Users\DG TECH\Desktop\react2\jahani\public\"/>
    </mc:Choice>
  </mc:AlternateContent>
  <bookViews>
    <workbookView xWindow="0" yWindow="0" windowWidth="20460" windowHeight="7590"/>
  </bookViews>
  <sheets>
    <sheet name="Sheet1" sheetId="1" r:id="rId1"/>
    <sheet name="Sheet2" sheetId="2" r:id="rId2"/>
  </sheets>
  <calcPr calcId="162913"/>
</workbook>
</file>

<file path=xl/calcChain.xml><?xml version="1.0" encoding="utf-8"?>
<calcChain xmlns="http://schemas.openxmlformats.org/spreadsheetml/2006/main"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20" i="1" l="1"/>
  <c r="B16" i="1" s="1"/>
  <c r="B17" i="1" s="1"/>
  <c r="B18" i="1" s="1"/>
  <c r="B19" i="1" s="1"/>
  <c r="B7" i="1"/>
  <c r="B8" i="1" s="1"/>
  <c r="B9" i="1" s="1"/>
  <c r="F20" i="1" l="1"/>
  <c r="G20" i="1" s="1"/>
  <c r="F16" i="1"/>
  <c r="G16" i="1" s="1"/>
  <c r="F92" i="1" l="1"/>
  <c r="G92" i="1" s="1"/>
  <c r="F93" i="1"/>
  <c r="G93" i="1" s="1"/>
  <c r="B186" i="1" l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132" i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21" i="1"/>
  <c r="B122" i="1" s="1"/>
  <c r="B123" i="1" s="1"/>
  <c r="B124" i="1" s="1"/>
  <c r="B125" i="1" s="1"/>
  <c r="B126" i="1" s="1"/>
  <c r="B109" i="1"/>
  <c r="B110" i="1" s="1"/>
  <c r="B111" i="1" s="1"/>
  <c r="B112" i="1" s="1"/>
  <c r="B113" i="1" s="1"/>
  <c r="B114" i="1" s="1"/>
  <c r="B115" i="1" s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33" i="1"/>
  <c r="B34" i="1" l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F9" i="1"/>
  <c r="G9" i="1" s="1"/>
  <c r="B47" i="1" l="1"/>
  <c r="B46" i="1"/>
  <c r="F195" i="1"/>
  <c r="G195" i="1" s="1"/>
  <c r="F14" i="1"/>
  <c r="G14" i="1" s="1"/>
  <c r="F15" i="1"/>
  <c r="F17" i="1"/>
  <c r="F18" i="1"/>
  <c r="F184" i="1"/>
  <c r="G184" i="1" s="1"/>
  <c r="F185" i="1"/>
  <c r="G185" i="1" s="1"/>
  <c r="F186" i="1"/>
  <c r="G186" i="1" s="1"/>
  <c r="F220" i="1"/>
  <c r="G220" i="1" s="1"/>
  <c r="F219" i="1"/>
  <c r="G219" i="1" s="1"/>
  <c r="F218" i="1"/>
  <c r="G218" i="1" s="1"/>
  <c r="F217" i="1"/>
  <c r="G217" i="1" s="1"/>
  <c r="F216" i="1"/>
  <c r="G216" i="1" s="1"/>
  <c r="F215" i="1"/>
  <c r="G215" i="1" s="1"/>
  <c r="F214" i="1"/>
  <c r="G214" i="1" s="1"/>
  <c r="F213" i="1"/>
  <c r="G213" i="1" s="1"/>
  <c r="F212" i="1"/>
  <c r="G212" i="1" s="1"/>
  <c r="F211" i="1"/>
  <c r="G211" i="1" s="1"/>
  <c r="F210" i="1"/>
  <c r="G210" i="1" s="1"/>
  <c r="F209" i="1"/>
  <c r="G209" i="1" s="1"/>
  <c r="F208" i="1"/>
  <c r="G208" i="1" s="1"/>
  <c r="F207" i="1"/>
  <c r="G207" i="1" s="1"/>
  <c r="F206" i="1"/>
  <c r="G206" i="1" s="1"/>
  <c r="F205" i="1"/>
  <c r="G205" i="1" s="1"/>
  <c r="F204" i="1"/>
  <c r="G204" i="1" s="1"/>
  <c r="F203" i="1"/>
  <c r="G203" i="1" s="1"/>
  <c r="F202" i="1"/>
  <c r="G202" i="1" s="1"/>
  <c r="F201" i="1"/>
  <c r="G201" i="1" s="1"/>
  <c r="F200" i="1"/>
  <c r="G200" i="1" s="1"/>
  <c r="F199" i="1"/>
  <c r="G199" i="1" s="1"/>
  <c r="F198" i="1"/>
  <c r="G198" i="1" s="1"/>
  <c r="F197" i="1"/>
  <c r="G197" i="1" s="1"/>
  <c r="F196" i="1"/>
  <c r="G196" i="1" s="1"/>
  <c r="F194" i="1"/>
  <c r="G194" i="1" s="1"/>
  <c r="F193" i="1"/>
  <c r="G193" i="1" s="1"/>
  <c r="F192" i="1"/>
  <c r="G192" i="1" s="1"/>
  <c r="F191" i="1"/>
  <c r="G191" i="1" s="1"/>
  <c r="F177" i="1"/>
  <c r="G177" i="1" s="1"/>
  <c r="F178" i="1"/>
  <c r="G178" i="1" s="1"/>
  <c r="F179" i="1"/>
  <c r="G179" i="1" s="1"/>
  <c r="F180" i="1"/>
  <c r="G180" i="1" s="1"/>
  <c r="F126" i="1"/>
  <c r="G126" i="1" s="1"/>
  <c r="F130" i="1"/>
  <c r="G130" i="1" s="1"/>
  <c r="F119" i="1"/>
  <c r="G119" i="1" s="1"/>
  <c r="F107" i="1"/>
  <c r="G107" i="1" s="1"/>
  <c r="F91" i="1"/>
  <c r="G91" i="1" s="1"/>
  <c r="F73" i="1"/>
  <c r="G73" i="1" s="1"/>
  <c r="F51" i="1"/>
  <c r="G51" i="1" s="1"/>
  <c r="F30" i="1"/>
  <c r="G30" i="1" s="1"/>
  <c r="F31" i="1"/>
  <c r="G31" i="1" s="1"/>
  <c r="F32" i="1"/>
  <c r="G32" i="1" s="1"/>
  <c r="F24" i="1"/>
  <c r="G24" i="1" s="1"/>
  <c r="F47" i="1"/>
  <c r="G47" i="1" s="1"/>
  <c r="F190" i="1"/>
  <c r="G190" i="1" s="1"/>
  <c r="F189" i="1"/>
  <c r="G189" i="1" s="1"/>
  <c r="F188" i="1"/>
  <c r="G188" i="1" s="1"/>
  <c r="F187" i="1"/>
  <c r="G187" i="1" s="1"/>
  <c r="F173" i="1"/>
  <c r="G173" i="1" s="1"/>
  <c r="F172" i="1"/>
  <c r="G172" i="1" s="1"/>
  <c r="F171" i="1"/>
  <c r="G171" i="1" s="1"/>
  <c r="F170" i="1"/>
  <c r="G170" i="1" s="1"/>
  <c r="F169" i="1"/>
  <c r="G169" i="1" s="1"/>
  <c r="F168" i="1"/>
  <c r="G168" i="1" s="1"/>
  <c r="F167" i="1"/>
  <c r="G167" i="1" s="1"/>
  <c r="F166" i="1"/>
  <c r="G166" i="1" s="1"/>
  <c r="F165" i="1"/>
  <c r="G165" i="1" s="1"/>
  <c r="F164" i="1"/>
  <c r="G164" i="1" s="1"/>
  <c r="F163" i="1"/>
  <c r="G163" i="1" s="1"/>
  <c r="F162" i="1"/>
  <c r="G162" i="1" s="1"/>
  <c r="F161" i="1"/>
  <c r="G161" i="1" s="1"/>
  <c r="F160" i="1"/>
  <c r="G160" i="1" s="1"/>
  <c r="F159" i="1"/>
  <c r="G159" i="1" s="1"/>
  <c r="F158" i="1"/>
  <c r="G158" i="1" s="1"/>
  <c r="F157" i="1"/>
  <c r="G157" i="1" s="1"/>
  <c r="F156" i="1"/>
  <c r="G156" i="1" s="1"/>
  <c r="F155" i="1"/>
  <c r="G155" i="1" s="1"/>
  <c r="F154" i="1"/>
  <c r="G154" i="1" s="1"/>
  <c r="F153" i="1"/>
  <c r="G153" i="1" s="1"/>
  <c r="F152" i="1"/>
  <c r="G152" i="1" s="1"/>
  <c r="F151" i="1"/>
  <c r="G151" i="1" s="1"/>
  <c r="F150" i="1"/>
  <c r="G150" i="1" s="1"/>
  <c r="F149" i="1" l="1"/>
  <c r="G149" i="1" s="1"/>
  <c r="F148" i="1"/>
  <c r="G148" i="1" s="1"/>
  <c r="F147" i="1"/>
  <c r="G147" i="1" s="1"/>
  <c r="F146" i="1"/>
  <c r="G146" i="1" s="1"/>
  <c r="F145" i="1"/>
  <c r="G145" i="1" s="1"/>
  <c r="F144" i="1"/>
  <c r="G144" i="1" s="1"/>
  <c r="F143" i="1"/>
  <c r="G143" i="1" s="1"/>
  <c r="F142" i="1"/>
  <c r="G142" i="1" s="1"/>
  <c r="F141" i="1"/>
  <c r="G141" i="1" s="1"/>
  <c r="F140" i="1"/>
  <c r="G140" i="1" s="1"/>
  <c r="F139" i="1"/>
  <c r="G139" i="1" s="1"/>
  <c r="F138" i="1"/>
  <c r="G138" i="1" s="1"/>
  <c r="F137" i="1"/>
  <c r="G137" i="1" s="1"/>
  <c r="F136" i="1"/>
  <c r="G136" i="1" s="1"/>
  <c r="F135" i="1"/>
  <c r="G135" i="1" s="1"/>
  <c r="F134" i="1"/>
  <c r="G134" i="1" s="1"/>
  <c r="F133" i="1"/>
  <c r="G133" i="1" s="1"/>
  <c r="F132" i="1"/>
  <c r="G132" i="1" s="1"/>
  <c r="F131" i="1"/>
  <c r="G131" i="1" s="1"/>
  <c r="F125" i="1"/>
  <c r="G125" i="1" s="1"/>
  <c r="F124" i="1"/>
  <c r="G124" i="1" s="1"/>
  <c r="F123" i="1"/>
  <c r="G123" i="1" s="1"/>
  <c r="F122" i="1"/>
  <c r="G122" i="1" s="1"/>
  <c r="F121" i="1"/>
  <c r="G121" i="1" s="1"/>
  <c r="F120" i="1"/>
  <c r="G120" i="1" s="1"/>
  <c r="F115" i="1"/>
  <c r="G115" i="1" s="1"/>
  <c r="F114" i="1"/>
  <c r="G114" i="1" s="1"/>
  <c r="F113" i="1"/>
  <c r="G113" i="1" s="1"/>
  <c r="F112" i="1"/>
  <c r="G112" i="1" s="1"/>
  <c r="F111" i="1"/>
  <c r="G111" i="1" s="1"/>
  <c r="F110" i="1"/>
  <c r="G110" i="1" s="1"/>
  <c r="F109" i="1"/>
  <c r="G109" i="1" s="1"/>
  <c r="F108" i="1"/>
  <c r="G108" i="1" s="1"/>
  <c r="F103" i="1"/>
  <c r="G103" i="1" s="1"/>
  <c r="F102" i="1"/>
  <c r="G102" i="1" s="1"/>
  <c r="F101" i="1"/>
  <c r="G101" i="1" s="1"/>
  <c r="F100" i="1"/>
  <c r="G100" i="1" s="1"/>
  <c r="F99" i="1"/>
  <c r="G99" i="1" s="1"/>
  <c r="F98" i="1"/>
  <c r="G98" i="1" s="1"/>
  <c r="F97" i="1"/>
  <c r="G97" i="1" s="1"/>
  <c r="F96" i="1"/>
  <c r="G96" i="1" s="1"/>
  <c r="F95" i="1"/>
  <c r="G95" i="1" s="1"/>
  <c r="F94" i="1"/>
  <c r="G94" i="1" s="1"/>
  <c r="F87" i="1"/>
  <c r="G87" i="1" s="1"/>
  <c r="F86" i="1"/>
  <c r="G86" i="1" s="1"/>
  <c r="F85" i="1"/>
  <c r="G85" i="1" s="1"/>
  <c r="F84" i="1"/>
  <c r="G84" i="1" s="1"/>
  <c r="F83" i="1"/>
  <c r="G83" i="1" s="1"/>
  <c r="F82" i="1"/>
  <c r="G82" i="1" s="1"/>
  <c r="F81" i="1"/>
  <c r="G81" i="1" s="1"/>
  <c r="F80" i="1"/>
  <c r="G80" i="1" s="1"/>
  <c r="F79" i="1"/>
  <c r="G79" i="1" s="1"/>
  <c r="F78" i="1"/>
  <c r="G78" i="1" s="1"/>
  <c r="F77" i="1"/>
  <c r="G77" i="1" s="1"/>
  <c r="F76" i="1"/>
  <c r="G76" i="1" s="1"/>
  <c r="F75" i="1"/>
  <c r="G75" i="1" s="1"/>
  <c r="F74" i="1"/>
  <c r="G74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46" i="1"/>
  <c r="G46" i="1" s="1"/>
  <c r="F45" i="1"/>
  <c r="G45" i="1" s="1"/>
  <c r="F44" i="1"/>
  <c r="G44" i="1" s="1"/>
  <c r="F43" i="1"/>
  <c r="G43" i="1" s="1"/>
  <c r="F42" i="1"/>
  <c r="G42" i="1" s="1"/>
  <c r="F41" i="1"/>
  <c r="G41" i="1" s="1"/>
  <c r="F40" i="1"/>
  <c r="G40" i="1" s="1"/>
  <c r="F39" i="1"/>
  <c r="G39" i="1" s="1"/>
  <c r="F38" i="1"/>
  <c r="G38" i="1" s="1"/>
  <c r="F37" i="1"/>
  <c r="G37" i="1" s="1"/>
  <c r="F36" i="1"/>
  <c r="G36" i="1" s="1"/>
  <c r="F35" i="1"/>
  <c r="G35" i="1" s="1"/>
  <c r="F34" i="1"/>
  <c r="G34" i="1" s="1"/>
  <c r="G17" i="1"/>
  <c r="F33" i="1" l="1"/>
  <c r="G33" i="1" s="1"/>
  <c r="F11" i="2" l="1"/>
  <c r="G11" i="2" s="1"/>
  <c r="F10" i="2"/>
  <c r="G10" i="2" s="1"/>
  <c r="F9" i="2"/>
  <c r="G9" i="2" s="1"/>
  <c r="F8" i="2"/>
  <c r="G8" i="2" s="1"/>
  <c r="F7" i="2"/>
  <c r="G7" i="2" s="1"/>
  <c r="F5" i="1"/>
  <c r="G5" i="1" s="1"/>
  <c r="F6" i="1"/>
  <c r="G6" i="1" s="1"/>
  <c r="F7" i="1"/>
  <c r="G7" i="1" s="1"/>
  <c r="F25" i="1" l="1"/>
  <c r="G25" i="1" s="1"/>
  <c r="F26" i="1"/>
  <c r="G26" i="1" s="1"/>
  <c r="F19" i="1" l="1"/>
  <c r="G19" i="1" s="1"/>
  <c r="G18" i="1"/>
  <c r="G15" i="1"/>
  <c r="F10" i="1"/>
  <c r="G10" i="1" s="1"/>
  <c r="F8" i="1"/>
  <c r="G8" i="1" s="1"/>
</calcChain>
</file>

<file path=xl/sharedStrings.xml><?xml version="1.0" encoding="utf-8"?>
<sst xmlns="http://schemas.openxmlformats.org/spreadsheetml/2006/main" count="306" uniqueCount="175">
  <si>
    <t>کارگزاری آینده نگر خوارزمی به مدیریت دکتر ذوقی 09123011311 و 61914000-021 (داخلی 408 الی 411)</t>
  </si>
  <si>
    <t>اختلاف</t>
  </si>
  <si>
    <t>درصد تغییر</t>
  </si>
  <si>
    <t>نرخ دلار</t>
  </si>
  <si>
    <r>
      <rPr>
        <b/>
        <sz val="22"/>
        <color theme="1"/>
        <rFont val="Calibri"/>
        <family val="2"/>
        <scheme val="minor"/>
      </rPr>
      <t>مقایسه قیمت پایه محصولات پلیمری</t>
    </r>
    <r>
      <rPr>
        <sz val="12"/>
        <color theme="1"/>
        <rFont val="Calibri"/>
        <family val="2"/>
        <scheme val="minor"/>
      </rPr>
      <t xml:space="preserve"> </t>
    </r>
  </si>
  <si>
    <t>تاریخ 1</t>
  </si>
  <si>
    <t xml:space="preserve">نام محصول </t>
  </si>
  <si>
    <t>تاریخ 2</t>
  </si>
  <si>
    <t>پلی وینیل کلراید S‏57</t>
  </si>
  <si>
    <t>پلی وینیل کلراید S‏70</t>
  </si>
  <si>
    <t>سود کاستیک</t>
  </si>
  <si>
    <t>برش سه کربنه و سنگین تر (C‏3+)</t>
  </si>
  <si>
    <t>متانول</t>
  </si>
  <si>
    <t>بنزن</t>
  </si>
  <si>
    <t>پارا زایلین</t>
  </si>
  <si>
    <t>زایلین مخلوط</t>
  </si>
  <si>
    <t>پلی پروپیلن نساجی ZH 552R</t>
  </si>
  <si>
    <t>محصول</t>
  </si>
  <si>
    <t>پروپان مایع</t>
  </si>
  <si>
    <t>کریستال ملامین</t>
  </si>
  <si>
    <t>تولوئن دی ایزو سیانات (TDI)</t>
  </si>
  <si>
    <r>
      <rPr>
        <b/>
        <sz val="9"/>
        <rFont val="Arial"/>
        <family val="2"/>
      </rPr>
      <t>متیلن دی فنیل دی ایزوسیانات MDI پلیمری</t>
    </r>
  </si>
  <si>
    <r>
      <rPr>
        <b/>
        <sz val="9"/>
        <rFont val="Arial"/>
        <family val="2"/>
      </rPr>
      <t>متیلن دی فنیل دی ایزوسیانات MDI پلیمری (KP‏600)</t>
    </r>
  </si>
  <si>
    <r>
      <rPr>
        <b/>
        <sz val="9"/>
        <rFont val="Arial"/>
        <family val="2"/>
      </rPr>
      <t>متیلن دی فنیل دی ایزوسیانات MDI خالص</t>
    </r>
  </si>
  <si>
    <r>
      <rPr>
        <b/>
        <sz val="9"/>
        <rFont val="Arial"/>
        <family val="2"/>
      </rPr>
      <t>متیلن دی فنیل دی ایزوسیانات MDI خالص (KM‏70)</t>
    </r>
  </si>
  <si>
    <t>متیلن دی فنیل دی ایزوسیانات KLM100-C</t>
  </si>
  <si>
    <t>EPVC 7544 M</t>
  </si>
  <si>
    <t>پلی پروپیلن نساجی Z30S</t>
  </si>
  <si>
    <t>پلی پروپیلن نساجی HP565S</t>
  </si>
  <si>
    <t>پلی پروپیلن شیمیایی140-PPH-XD</t>
  </si>
  <si>
    <t>پلی پروپیلن شیمیایی_ZR340R</t>
  </si>
  <si>
    <t>پلی پروپیلن شیمیایی ZR230C</t>
  </si>
  <si>
    <t>پلی پروپیلن شیمیایی ZB548T</t>
  </si>
  <si>
    <t>پلی پروپیلن شیمیایی ZB548R</t>
  </si>
  <si>
    <t>پلی پروپیلن شیمیایی ZB440L</t>
  </si>
  <si>
    <t>پلی پروپیلن شیمیایی ZB332C</t>
  </si>
  <si>
    <t>پلی پروپیلن شیمیایی RP 345S</t>
  </si>
  <si>
    <t>پلی پروپیلن شیمیایی RP 230C</t>
  </si>
  <si>
    <t>پلی پروپیلن شیمیایی RG3212E</t>
  </si>
  <si>
    <t>پلی پروپیلن شیمیایی HP515M</t>
  </si>
  <si>
    <t>پلی پروپیلن شیمیایی EPC40R</t>
  </si>
  <si>
    <t>پلی پروپیلن شیمیایی EP440L</t>
  </si>
  <si>
    <t>پلی پروپیلن شیمیایی EP440G</t>
  </si>
  <si>
    <t>پلی پروپیلن شیمیایی EP3130UV</t>
  </si>
  <si>
    <t>پلی پروپیلن شیمیایی EP 445L</t>
  </si>
  <si>
    <t>پلی پروپیلن شیمیایی 045-PPH-XD</t>
  </si>
  <si>
    <t>پلی استایرن مقاوم 7240</t>
  </si>
  <si>
    <t>پلی استایرن مقاوم 6045</t>
  </si>
  <si>
    <t>پلی استایرن مقاوم 4512</t>
  </si>
  <si>
    <t>پلی استایرن معمولی 32N</t>
  </si>
  <si>
    <t>پلی استایرن معمولی 324-G</t>
  </si>
  <si>
    <t>پلی استایرن معمولی 1551</t>
  </si>
  <si>
    <t>پلی استایرن انبساطی105-F</t>
  </si>
  <si>
    <t>پلی استایرن انبساطی نسوز  400-F</t>
  </si>
  <si>
    <t>پلی استایرن انبساطی نسوز  200-F</t>
  </si>
  <si>
    <t>پلی استایرن انبساطی HS‏121</t>
  </si>
  <si>
    <t>پلی استایرن انبساطی FC‏522</t>
  </si>
  <si>
    <t>پلی استایرن انبساطی FC‏422</t>
  </si>
  <si>
    <t>پلی استایرن انبساطی 526WP</t>
  </si>
  <si>
    <t>پلی استایرن انبساطی 405-F</t>
  </si>
  <si>
    <t>پلی استایرن انبساطی 305-F</t>
  </si>
  <si>
    <t>پلی استایرن انبساطی 205-F</t>
  </si>
  <si>
    <t>پلی اتیلن سنگین دورانی 3840UA</t>
  </si>
  <si>
    <t>پلی اتیلن سنگین تزریقی52B18UV</t>
  </si>
  <si>
    <t>پلی اتیلن سنگین تزریقی I‏4</t>
  </si>
  <si>
    <t>پلی اتیلن سنگین تزریقی 62N07UV</t>
  </si>
  <si>
    <t>پلی اتیلن سنگین تزریقی 52518</t>
  </si>
  <si>
    <t>پلی اتیلن سنگین تزریقی 52511</t>
  </si>
  <si>
    <t>پلی اتیلن سنگین تزریقی 5030SA</t>
  </si>
  <si>
    <t>پلی اتیلن سنگین بادی 0035</t>
  </si>
  <si>
    <t>پلی اتیلن سنگین اکستروژنARM CRP100 black</t>
  </si>
  <si>
    <t>پلی اتیلن سنگین اکستروژن 7700M</t>
  </si>
  <si>
    <t>پلی اتیلن سنگین اکستروژن 4460 HEX</t>
  </si>
  <si>
    <t>پلی اتیلن سبک فیلم LFI2047A</t>
  </si>
  <si>
    <t>پلی اتیلن سبک فیلم 2420K</t>
  </si>
  <si>
    <t>پلی اتیلن سبک فیلم 2420E‏02</t>
  </si>
  <si>
    <t>پلی اتیلن سبک فیلم 2420D</t>
  </si>
  <si>
    <t>پلی اتیلن سبک فیلم 0200</t>
  </si>
  <si>
    <t>پلی اتیلن سبک فیلم  2420H</t>
  </si>
  <si>
    <t>پلی اتیلن سبک خطی 22501AA</t>
  </si>
  <si>
    <t>پلی اتیلن سبک خطی 0209KJ</t>
  </si>
  <si>
    <t>پلی اتیلن سبک خطی 0209AA</t>
  </si>
  <si>
    <t>پلی اتیلن سبک تزریقی 1922T</t>
  </si>
  <si>
    <t>پلی اتیلن ترفتالات بطری BG840S</t>
  </si>
  <si>
    <t>پلی اتیلن ترفتالات بطری BG840N</t>
  </si>
  <si>
    <t>پلی اتیلن ترفتالات بطری BG820S</t>
  </si>
  <si>
    <t>پلی اتیلن ترفتالات بطری BG820N</t>
  </si>
  <si>
    <t>پلی اتیلن ترفتالات بطری BG780S</t>
  </si>
  <si>
    <t>پلی اتیلن ترفتالات بطری BG780N</t>
  </si>
  <si>
    <t>پلی اتیلن ترفتالات بطری BG730S</t>
  </si>
  <si>
    <t>پلی اتیلن ترفتالات بطری BG730N</t>
  </si>
  <si>
    <t>متیلن دی فنیل دی ایزوسیانات MDI پلیمری</t>
  </si>
  <si>
    <t>متیلن دی فنیل دی ایزوسیانات MDI پلیمری (KP‏600)</t>
  </si>
  <si>
    <t>متیلن دی فنیل دی ایزوسیانات MDI خالص</t>
  </si>
  <si>
    <t>متیلن دی فنیل دی ایزوسیانات MDI خالص (KM‏70)</t>
  </si>
  <si>
    <t>متیلن دی فنیل دی ایزوسیانات 20-KCS</t>
  </si>
  <si>
    <t>1و3 بوتادین</t>
  </si>
  <si>
    <t>اتیل بنزن</t>
  </si>
  <si>
    <t>ارتوزایلین</t>
  </si>
  <si>
    <t>استایرن منومر*</t>
  </si>
  <si>
    <t>اسید استیک</t>
  </si>
  <si>
    <t>اسید ترفتالیک</t>
  </si>
  <si>
    <t>اسید نیتریک</t>
  </si>
  <si>
    <t>اوره پریل</t>
  </si>
  <si>
    <t>اوره پریل بدون فرمالدئید</t>
  </si>
  <si>
    <t>اوره پریل فله</t>
  </si>
  <si>
    <t>اوره گرانوله</t>
  </si>
  <si>
    <t>اوره گرانوله فله</t>
  </si>
  <si>
    <t>ایزوبوتانول</t>
  </si>
  <si>
    <t>آروماتیک سنگین</t>
  </si>
  <si>
    <t>آلکیل بنزن خطی (LAB)</t>
  </si>
  <si>
    <t>آمونیاک (گاز)</t>
  </si>
  <si>
    <t>برش سنگین</t>
  </si>
  <si>
    <t>بوتان</t>
  </si>
  <si>
    <t>پروپان</t>
  </si>
  <si>
    <t>تری اتانول آمین</t>
  </si>
  <si>
    <t>تری اتیلن گلایکول</t>
  </si>
  <si>
    <t>تولوئن</t>
  </si>
  <si>
    <t>دو اتیل هگزانول</t>
  </si>
  <si>
    <t>دی اتانول آمین</t>
  </si>
  <si>
    <t>دی اتیلن گلایکول</t>
  </si>
  <si>
    <t>منو اتانول آمین</t>
  </si>
  <si>
    <t>منو اتیلن گلایکول</t>
  </si>
  <si>
    <t>منومر وینیل استات</t>
  </si>
  <si>
    <t>نرمال بوتانول</t>
  </si>
  <si>
    <t>نفت کوره _CFO</t>
  </si>
  <si>
    <t>پلی پروپیلن فیلم  HP545J</t>
  </si>
  <si>
    <t>پلی پروپیلن فیلم HP525J</t>
  </si>
  <si>
    <t>پلی پروپیلن فیلم RP120L</t>
  </si>
  <si>
    <t>پلی پروپیلن فیلم ZH525J</t>
  </si>
  <si>
    <t>استایرن بوتادین رابر روشن 1502</t>
  </si>
  <si>
    <t>اکریلونیتریل بوتادین استایرن 0150</t>
  </si>
  <si>
    <t>ردیف</t>
  </si>
  <si>
    <r>
      <rPr>
        <b/>
        <sz val="22"/>
        <color theme="1"/>
        <rFont val="B Nazanin"/>
        <charset val="178"/>
      </rPr>
      <t>مقایسه قیمت پایه محصولات پلی پروپیلن نساجی</t>
    </r>
    <r>
      <rPr>
        <sz val="12"/>
        <color theme="1"/>
        <rFont val="B Nazanin"/>
        <charset val="178"/>
      </rPr>
      <t xml:space="preserve"> </t>
    </r>
  </si>
  <si>
    <t>‫پلی وینیل کلراید 70 ‏S‬‏</t>
  </si>
  <si>
    <t xml:space="preserve">مقایسه قیمت پایه پلی وینیل کلراید PVC(S) </t>
  </si>
  <si>
    <t xml:space="preserve">مقایسه قیمت پایه پلی وینیل کلراید PVC(E) </t>
  </si>
  <si>
    <r>
      <rPr>
        <b/>
        <sz val="22"/>
        <color theme="1"/>
        <rFont val="B Nazanin"/>
        <charset val="178"/>
      </rPr>
      <t>مقایسه قیمت پایه محصولات پلی پروپیلن شیمیایی</t>
    </r>
    <r>
      <rPr>
        <sz val="12"/>
        <color theme="1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</si>
  <si>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استایرن</t>
    </r>
    <r>
      <rPr>
        <sz val="12"/>
        <color theme="1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</si>
  <si>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اتیلن سنگین</t>
    </r>
    <r>
      <rPr>
        <sz val="12"/>
        <color theme="1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</si>
  <si>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اتیلن سبک</t>
    </r>
    <r>
      <rPr>
        <sz val="12"/>
        <color theme="1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</si>
  <si>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پلی اتیلن ترفتالات بطری PET</t>
    </r>
    <r>
      <rPr>
        <sz val="12"/>
        <color theme="1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</si>
  <si>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 xml:space="preserve">مقایسه قیمت پایه محصولات MDI &amp; TDI </t>
    </r>
    <r>
      <rPr>
        <sz val="12"/>
        <color theme="1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</si>
  <si>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شیمیایی</t>
    </r>
    <r>
      <rPr>
        <sz val="12"/>
        <color theme="1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</si>
  <si>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پلیمری</t>
    </r>
    <r>
      <rPr>
        <sz val="12"/>
        <color theme="1"/>
        <rFont val="B Nazanin"/>
        <charset val="178"/>
      </rPr>
      <t xml:space="preserve"> </t>
    </r>
  </si>
  <si>
    <t>پلی وینیل کلراید S70</t>
  </si>
  <si>
    <t>پلی وینیل کلراید S57</t>
  </si>
  <si>
    <t>پلی وینیل کلرایدS70(پزشکی)</t>
  </si>
  <si>
    <t>پلی وینیل کلراید 7044 E</t>
  </si>
  <si>
    <t xml:space="preserve"> پلی پروپیلن شیمیایی RP 210G</t>
  </si>
  <si>
    <t>پلی اتیلن سنگین اکستروژن EX3</t>
  </si>
  <si>
    <t>پلی اتیلن سنگین اکستروژن  CRP100‏</t>
  </si>
  <si>
    <t>پلی اتیلن سنگین فیلم F7000</t>
  </si>
  <si>
    <t>پلی وینیل کلراید S65</t>
  </si>
  <si>
    <t>پلی وینیل کلراید E7242</t>
  </si>
  <si>
    <t>پلی وینیل کلراید E7044</t>
  </si>
  <si>
    <t>پلی وینیل کلراید E6834</t>
  </si>
  <si>
    <t>پلی وینیل کلراید E6644</t>
  </si>
  <si>
    <t>پلی وینیل کلراید E60</t>
  </si>
  <si>
    <t>پلی استایرن معمولی MP08</t>
  </si>
  <si>
    <t xml:space="preserve">پلی استایرن انبساطی HS121 </t>
  </si>
  <si>
    <t>پلی اتیلن سنگین اکستروژن CRP100</t>
  </si>
  <si>
    <t>پلی اتیلن سنگین فیلم EX5</t>
  </si>
  <si>
    <t xml:space="preserve">پلی وینیل کلراید E 6834 </t>
  </si>
  <si>
    <t>پلی وینیل کلراید E 7242</t>
  </si>
  <si>
    <t>پلی وینیل کلراید E 60</t>
  </si>
  <si>
    <t>EPVC 7244 H</t>
  </si>
  <si>
    <t>پلی وینیل کلراید‏S70(پزشکی)</t>
  </si>
  <si>
    <t>پلی استایرن انبساطی‏ R200</t>
  </si>
  <si>
    <t>پلی اتیلن سنگین فیلم ‏MFI3713</t>
  </si>
  <si>
    <t>متیلن دی فنیل دی ایزوسیانات MDI خالص (KM70)</t>
  </si>
  <si>
    <t>متیلن دی فنیل دی ایزوسیانات MDI پلیمری (KP600‏)</t>
  </si>
  <si>
    <t>پلی اتیلن سبک فیلم 2102TX00‏</t>
  </si>
  <si>
    <t>پلی اتیلن سبک فیلم 2100TN00‏</t>
  </si>
  <si>
    <t>مقایسه قیمت پایه محصولات DEG و MEG وTEG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</si>
</sst>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2"/>
      <color theme="1"/>
      <name val="B Nazanin"/>
      <charset val="178"/>
    </font>
    <font>
      <sz val="12"/>
      <name val="B Nazanin"/>
      <charset val="178"/>
    </font>
    <font>
      <b/>
      <sz val="9"/>
      <name val="Arial"/>
      <family val="2"/>
    </font>
    <font>
      <b/>
      <sz val="22"/>
      <color theme="1"/>
      <name val="B Nazanin"/>
      <charset val="178"/>
    </font>
    <font>
      <sz val="11"/>
      <name val="B Nazanin"/>
      <charset val="178"/>
    </font>
    <font>
      <sz val="10"/>
      <name val="B Nazanin"/>
      <charset val="178"/>
    </font>
    <font>
      <b/>
      <sz val="12"/>
      <color theme="1"/>
      <name val="B Nazanin"/>
      <charset val="178"/>
    </font>
    <font>
      <b/>
      <sz val="14"/>
      <color rgb="FF002060"/>
      <name val="B Nazanin"/>
      <charset val="178"/>
    </font>
    <font>
      <b/>
      <sz val="12"/>
      <color rgb="FF002060"/>
      <name val="B Nazanin"/>
      <charset val="178"/>
    </font>
    <font>
      <sz val="12"/>
      <color theme="1" tint="4.9989318521683403E-2"/>
      <name val="B Nazanin"/>
      <charset val="178"/>
    </font>
    <font>
      <b/>
      <sz val="12"/>
      <color theme="1" tint="4.9989318521683403E-2"/>
      <name val="B Nazanin"/>
      <charset val="178"/>
    </font>
    <font>
      <b/>
      <sz val="10"/>
      <name val="B Nazanin"/>
      <charset val="178"/>
    </font>
    <font>
      <b/>
      <sz val="10"/>
      <color theme="1"/>
      <name val="B Nazanin"/>
      <charset val="178"/>
    </font>
    <font>
      <b/>
      <sz val="10"/>
      <color rgb="FFFF0000"/>
      <name val="B Nazanin"/>
      <charset val="178"/>
    </font>
    <font>
      <b/>
      <sz val="9"/>
      <name val="B Nazanin"/>
      <charset val="178"/>
    </font>
    <font>
      <sz val="11"/>
      <color theme="1"/>
      <name val="B Nazanin"/>
      <charset val="17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4">
    <xf numFmtId="0" fontId="0" fillId="0" borderId="0" xfId="0" applyNumberFormat="1"/>
    <xf numFmtId="0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10" fontId="3" fillId="5" borderId="1" xfId="0" applyNumberFormat="1" applyFont="1" applyFill="1" applyBorder="1" applyAlignment="1">
      <alignment horizontal="center" vertical="center"/>
    </xf>
    <xf numFmtId="0" fontId="0" fillId="0" borderId="1" xfId="0" applyNumberFormat="1" applyBorder="1"/>
    <xf numFmtId="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 readingOrder="2"/>
    </xf>
    <xf numFmtId="0" fontId="0" fillId="2" borderId="0" xfId="0" applyNumberFormat="1" applyFill="1"/>
    <xf numFmtId="0" fontId="6" fillId="0" borderId="2" xfId="0" applyFont="1" applyFill="1" applyBorder="1" applyAlignment="1">
      <alignment horizontal="right" vertical="top" wrapText="1" indent="7" readingOrder="2"/>
    </xf>
    <xf numFmtId="0" fontId="6" fillId="0" borderId="2" xfId="0" applyFont="1" applyFill="1" applyBorder="1" applyAlignment="1">
      <alignment horizontal="right" vertical="top" wrapText="1" indent="4" readingOrder="2"/>
    </xf>
    <xf numFmtId="0" fontId="6" fillId="0" borderId="2" xfId="0" applyFont="1" applyFill="1" applyBorder="1" applyAlignment="1">
      <alignment horizontal="right" vertical="top" wrapText="1" indent="2" readingOrder="2"/>
    </xf>
    <xf numFmtId="0" fontId="0" fillId="6" borderId="0" xfId="0" applyNumberFormat="1" applyFill="1"/>
    <xf numFmtId="0" fontId="1" fillId="6" borderId="0" xfId="0" applyNumberFormat="1" applyFont="1" applyFill="1"/>
    <xf numFmtId="0" fontId="1" fillId="0" borderId="0" xfId="0" applyNumberFormat="1" applyFont="1"/>
    <xf numFmtId="0" fontId="9" fillId="0" borderId="2" xfId="0" applyFont="1" applyFill="1" applyBorder="1" applyAlignment="1">
      <alignment horizontal="center" vertical="center" wrapText="1" readingOrder="2"/>
    </xf>
    <xf numFmtId="3" fontId="0" fillId="6" borderId="0" xfId="0" applyNumberFormat="1" applyFill="1"/>
    <xf numFmtId="3" fontId="0" fillId="0" borderId="0" xfId="0" applyNumberFormat="1"/>
    <xf numFmtId="3" fontId="4" fillId="2" borderId="8" xfId="0" applyNumberFormat="1" applyFont="1" applyFill="1" applyBorder="1" applyAlignment="1">
      <alignment horizontal="center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0" fillId="2" borderId="1" xfId="0" applyNumberFormat="1" applyFont="1" applyFill="1" applyBorder="1" applyAlignment="1">
      <alignment horizontal="center" vertical="center"/>
    </xf>
    <xf numFmtId="3" fontId="10" fillId="3" borderId="1" xfId="0" applyNumberFormat="1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3" fontId="13" fillId="5" borderId="1" xfId="0" applyNumberFormat="1" applyFont="1" applyFill="1" applyBorder="1" applyAlignment="1">
      <alignment horizontal="center" vertical="center"/>
    </xf>
    <xf numFmtId="10" fontId="13" fillId="5" borderId="1" xfId="0" applyNumberFormat="1" applyFont="1" applyFill="1" applyBorder="1" applyAlignment="1">
      <alignment horizontal="center" vertical="center"/>
    </xf>
    <xf numFmtId="3" fontId="4" fillId="0" borderId="4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4" fillId="7" borderId="12" xfId="0" applyNumberFormat="1" applyFont="1" applyFill="1" applyBorder="1"/>
    <xf numFmtId="3" fontId="14" fillId="5" borderId="1" xfId="0" applyNumberFormat="1" applyFont="1" applyFill="1" applyBorder="1" applyAlignment="1">
      <alignment horizontal="center" vertical="center"/>
    </xf>
    <xf numFmtId="10" fontId="14" fillId="5" borderId="1" xfId="0" applyNumberFormat="1" applyFont="1" applyFill="1" applyBorder="1" applyAlignment="1">
      <alignment horizontal="center" vertical="center"/>
    </xf>
    <xf numFmtId="0" fontId="15" fillId="0" borderId="2" xfId="0" applyFont="1" applyFill="1" applyBorder="1" applyAlignment="1">
      <alignment horizontal="center" vertical="center" wrapText="1" readingOrder="2"/>
    </xf>
    <xf numFmtId="0" fontId="15" fillId="0" borderId="2" xfId="0" applyFont="1" applyFill="1" applyBorder="1" applyAlignment="1">
      <alignment horizontal="center" vertical="center" wrapText="1"/>
    </xf>
    <xf numFmtId="3" fontId="10" fillId="2" borderId="7" xfId="0" applyNumberFormat="1" applyFont="1" applyFill="1" applyBorder="1" applyAlignment="1">
      <alignment horizontal="center" vertical="center"/>
    </xf>
    <xf numFmtId="3" fontId="10" fillId="3" borderId="4" xfId="0" applyNumberFormat="1" applyFont="1" applyFill="1" applyBorder="1" applyAlignment="1">
      <alignment horizontal="center" vertical="center"/>
    </xf>
    <xf numFmtId="0" fontId="11" fillId="3" borderId="1" xfId="0" applyNumberFormat="1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 wrapText="1" readingOrder="2"/>
    </xf>
    <xf numFmtId="0" fontId="17" fillId="0" borderId="2" xfId="0" applyFont="1" applyFill="1" applyBorder="1" applyAlignment="1">
      <alignment horizontal="center" vertical="center" wrapText="1" readingOrder="2"/>
    </xf>
    <xf numFmtId="3" fontId="11" fillId="3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3" fontId="12" fillId="2" borderId="7" xfId="0" applyNumberFormat="1" applyFont="1" applyFill="1" applyBorder="1" applyAlignment="1">
      <alignment horizontal="center" vertical="center"/>
    </xf>
    <xf numFmtId="3" fontId="10" fillId="2" borderId="7" xfId="0" applyNumberFormat="1" applyFont="1" applyFill="1" applyBorder="1" applyAlignment="1">
      <alignment vertical="center"/>
    </xf>
    <xf numFmtId="0" fontId="18" fillId="0" borderId="2" xfId="0" applyFont="1" applyFill="1" applyBorder="1" applyAlignment="1">
      <alignment horizontal="center" vertical="center" wrapText="1" readingOrder="2"/>
    </xf>
    <xf numFmtId="0" fontId="10" fillId="4" borderId="1" xfId="0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7" fillId="4" borderId="7" xfId="0" applyNumberFormat="1" applyFont="1" applyFill="1" applyBorder="1" applyAlignment="1">
      <alignment horizontal="center" vertical="center"/>
    </xf>
    <xf numFmtId="0" fontId="4" fillId="4" borderId="9" xfId="0" applyNumberFormat="1" applyFont="1" applyFill="1" applyBorder="1" applyAlignment="1">
      <alignment horizontal="center" vertical="center"/>
    </xf>
    <xf numFmtId="0" fontId="4" fillId="4" borderId="3" xfId="0" applyNumberFormat="1" applyFont="1" applyFill="1" applyBorder="1" applyAlignment="1">
      <alignment horizontal="center" vertical="center"/>
    </xf>
    <xf numFmtId="0" fontId="4" fillId="4" borderId="7" xfId="0" applyNumberFormat="1" applyFont="1" applyFill="1" applyBorder="1" applyAlignment="1">
      <alignment horizontal="center" vertical="center"/>
    </xf>
    <xf numFmtId="0" fontId="10" fillId="4" borderId="6" xfId="0" applyNumberFormat="1" applyFont="1" applyFill="1" applyBorder="1" applyAlignment="1">
      <alignment horizontal="center" vertical="center"/>
    </xf>
    <xf numFmtId="0" fontId="10" fillId="4" borderId="10" xfId="0" applyNumberFormat="1" applyFont="1" applyFill="1" applyBorder="1" applyAlignment="1">
      <alignment horizontal="center" vertical="center"/>
    </xf>
    <xf numFmtId="0" fontId="10" fillId="4" borderId="11" xfId="0" applyNumberFormat="1" applyFont="1" applyFill="1" applyBorder="1" applyAlignment="1">
      <alignment horizontal="center" vertical="center"/>
    </xf>
    <xf numFmtId="0" fontId="10" fillId="4" borderId="7" xfId="0" applyNumberFormat="1" applyFont="1" applyFill="1" applyBorder="1" applyAlignment="1">
      <alignment horizontal="center" vertical="center"/>
    </xf>
    <xf numFmtId="0" fontId="19" fillId="4" borderId="7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0" fontId="7" fillId="4" borderId="9" xfId="0" applyNumberFormat="1" applyFont="1" applyFill="1" applyBorder="1" applyAlignment="1">
      <alignment horizontal="center" vertical="center"/>
    </xf>
    <xf numFmtId="0" fontId="7" fillId="4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0000"/>
      </font>
      <fill>
        <patternFill patternType="solid">
          <bgColor rgb="FFFFC7CE"/>
        </patternFill>
      </fill>
    </dxf>
    <dxf>
      <font>
        <color rgb="FF000000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695325</xdr:colOff>
      <xdr:row>9</xdr:row>
      <xdr:rowOff>0</xdr:rowOff>
    </xdr:from>
    <xdr:ext cx="5879536" cy="1709556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76D5BA-0FD3-4A07-AED3-B27F453D8E19}"/>
            </a:ext>
          </a:extLst>
        </xdr:cNvPr>
        <xdr:cNvSpPr/>
      </xdr:nvSpPr>
      <xdr:spPr>
        <a:xfrm rot="21008615">
          <a:off x="11230172414" y="4057650"/>
          <a:ext cx="5879536" cy="1709556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r" rtl="1"/>
          <a:r>
            <a:rPr lang="fa-IR" sz="4000" b="1" cap="none" spc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کارگزاری</a:t>
          </a: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 آینده نگر خوارزمی </a:t>
          </a:r>
          <a: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/>
          </a:r>
          <a:b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</a:b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311 11 30 0912</a:t>
          </a:r>
          <a:endParaRPr lang="en-US" sz="4000" b="1" cap="none" spc="0">
            <a:ln/>
            <a:solidFill>
              <a:schemeClr val="accent5">
                <a:lumMod val="75000"/>
                <a:alpha val="35000"/>
              </a:schemeClr>
            </a:solidFill>
            <a:effectLst/>
            <a:cs typeface="B Nazanin" panose="00000400000000000000" pitchFamily="2" charset="-78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3"/>
  <sheetViews>
    <sheetView rightToLeft="1" tabSelected="1" topLeftCell="A12" workbookViewId="0">
      <selection activeCell="A20" sqref="A20:XFD20"/>
    </sheetView>
  </sheetViews>
  <sheetFormatPr defaultRowHeight="27.95" customHeight="1" x14ac:dyDescent="0.25"/>
  <cols>
    <col min="1" max="1" width="2.625" style="15" customWidth="1"/>
    <col min="2" max="2" width="7.625" style="20" bestFit="1" customWidth="1"/>
    <col min="3" max="3" width="44.5" customWidth="1"/>
    <col min="4" max="4" width="20.5" customWidth="1"/>
    <col min="5" max="5" width="21.5" customWidth="1"/>
    <col min="6" max="6" width="17" customWidth="1"/>
    <col min="7" max="7" width="16.875" customWidth="1"/>
    <col min="8" max="8" width="4" style="15" customWidth="1"/>
    <col min="9" max="35" width="9" style="15"/>
  </cols>
  <sheetData>
    <row r="1" spans="1:35" s="15" customFormat="1" ht="27.95" customHeight="1" x14ac:dyDescent="0.25">
      <c r="B1" s="19"/>
    </row>
    <row r="2" spans="1:35" ht="33.950000000000003" customHeight="1" x14ac:dyDescent="0.25">
      <c r="B2" s="47" t="s">
        <v>0</v>
      </c>
      <c r="C2" s="48"/>
      <c r="D2" s="48"/>
      <c r="E2" s="48"/>
      <c r="F2" s="48"/>
      <c r="G2" s="48"/>
    </row>
    <row r="3" spans="1:35" ht="39.950000000000003" customHeight="1" x14ac:dyDescent="0.25">
      <c r="B3" s="49" t="s">
        <v>135</v>
      </c>
      <c r="C3" s="50"/>
      <c r="D3" s="50"/>
      <c r="E3" s="50"/>
      <c r="F3" s="50"/>
      <c r="G3" s="51"/>
    </row>
    <row r="4" spans="1:35" ht="27.95" customHeight="1" x14ac:dyDescent="0.25">
      <c r="B4" s="21"/>
      <c r="C4" s="22" t="s">
        <v>6</v>
      </c>
      <c r="D4" s="23" t="s">
        <v>5</v>
      </c>
      <c r="E4" s="23" t="s">
        <v>7</v>
      </c>
      <c r="F4" s="23" t="s">
        <v>1</v>
      </c>
      <c r="G4" s="23" t="s">
        <v>2</v>
      </c>
    </row>
    <row r="5" spans="1:35" ht="27.95" customHeight="1" x14ac:dyDescent="0.25">
      <c r="B5" s="24" t="s">
        <v>132</v>
      </c>
      <c r="C5" s="25" t="s">
        <v>3</v>
      </c>
      <c r="D5" s="26"/>
      <c r="E5" s="26"/>
      <c r="F5" s="27">
        <f t="shared" ref="F5:F19" si="0">E5-D5</f>
        <v>0</v>
      </c>
      <c r="G5" s="28" t="e">
        <f t="shared" ref="G5:G10" si="1">(F5/D5)</f>
        <v>#DIV/0!</v>
      </c>
    </row>
    <row r="6" spans="1:35" ht="27.95" customHeight="1" x14ac:dyDescent="0.25">
      <c r="B6" s="29">
        <v>1</v>
      </c>
      <c r="C6" s="18" t="s">
        <v>147</v>
      </c>
      <c r="D6" s="30"/>
      <c r="E6" s="30"/>
      <c r="F6" s="27">
        <f t="shared" si="0"/>
        <v>0</v>
      </c>
      <c r="G6" s="28" t="e">
        <f t="shared" si="1"/>
        <v>#DIV/0!</v>
      </c>
    </row>
    <row r="7" spans="1:35" ht="27.95" customHeight="1" x14ac:dyDescent="0.25">
      <c r="B7" s="30">
        <f>B6+1</f>
        <v>2</v>
      </c>
      <c r="C7" s="18" t="s">
        <v>145</v>
      </c>
      <c r="D7" s="30"/>
      <c r="E7" s="30"/>
      <c r="F7" s="27">
        <f t="shared" si="0"/>
        <v>0</v>
      </c>
      <c r="G7" s="28" t="e">
        <f t="shared" si="1"/>
        <v>#DIV/0!</v>
      </c>
    </row>
    <row r="8" spans="1:35" ht="27.95" customHeight="1" x14ac:dyDescent="0.25">
      <c r="B8" s="30">
        <f>B7+1</f>
        <v>3</v>
      </c>
      <c r="C8" s="18" t="s">
        <v>153</v>
      </c>
      <c r="D8" s="30"/>
      <c r="E8" s="30"/>
      <c r="F8" s="27">
        <f>E8-D8</f>
        <v>0</v>
      </c>
      <c r="G8" s="28" t="e">
        <f>(F8/D8)</f>
        <v>#DIV/0!</v>
      </c>
    </row>
    <row r="9" spans="1:35" ht="27.95" customHeight="1" x14ac:dyDescent="0.25">
      <c r="B9" s="30">
        <f>B8+1</f>
        <v>4</v>
      </c>
      <c r="C9" s="18" t="s">
        <v>146</v>
      </c>
      <c r="D9" s="30"/>
      <c r="E9" s="30"/>
      <c r="F9" s="27">
        <f t="shared" ref="F9" si="2">E9-D9</f>
        <v>0</v>
      </c>
      <c r="G9" s="28" t="e">
        <f t="shared" ref="G9" si="3">(F9/D9)</f>
        <v>#DIV/0!</v>
      </c>
    </row>
    <row r="10" spans="1:35" ht="27.95" hidden="1" customHeight="1" x14ac:dyDescent="0.45">
      <c r="B10" s="30">
        <v>9</v>
      </c>
      <c r="C10" s="31" t="s">
        <v>134</v>
      </c>
      <c r="D10" s="30"/>
      <c r="E10" s="30"/>
      <c r="F10" s="27">
        <f t="shared" si="0"/>
        <v>0</v>
      </c>
      <c r="G10" s="28" t="e">
        <f t="shared" si="1"/>
        <v>#DIV/0!</v>
      </c>
    </row>
    <row r="11" spans="1:35" ht="27.95" customHeight="1" x14ac:dyDescent="0.25">
      <c r="B11" s="56" t="s">
        <v>0</v>
      </c>
      <c r="C11" s="50"/>
      <c r="D11" s="50"/>
      <c r="E11" s="50"/>
      <c r="F11" s="50"/>
      <c r="G11" s="51"/>
    </row>
    <row r="12" spans="1:35" ht="42" customHeight="1" x14ac:dyDescent="0.25">
      <c r="B12" s="49" t="s">
        <v>136</v>
      </c>
      <c r="C12" s="50"/>
      <c r="D12" s="50"/>
      <c r="E12" s="50"/>
      <c r="F12" s="50"/>
      <c r="G12" s="51"/>
    </row>
    <row r="13" spans="1:35" ht="27.95" customHeight="1" x14ac:dyDescent="0.25">
      <c r="B13" s="21"/>
      <c r="C13" s="22" t="s">
        <v>6</v>
      </c>
      <c r="D13" s="23" t="s">
        <v>5</v>
      </c>
      <c r="E13" s="23" t="s">
        <v>7</v>
      </c>
      <c r="F13" s="23" t="s">
        <v>1</v>
      </c>
      <c r="G13" s="23" t="s">
        <v>2</v>
      </c>
    </row>
    <row r="14" spans="1:35" s="17" customFormat="1" ht="27.95" customHeight="1" x14ac:dyDescent="0.25">
      <c r="A14" s="16"/>
      <c r="B14" s="24" t="s">
        <v>132</v>
      </c>
      <c r="C14" s="25" t="s">
        <v>3</v>
      </c>
      <c r="D14" s="26"/>
      <c r="E14" s="26"/>
      <c r="F14" s="32">
        <f t="shared" ref="F14" si="4">E14-D14</f>
        <v>0</v>
      </c>
      <c r="G14" s="33" t="e">
        <f t="shared" ref="G14" si="5">(F14/D14)</f>
        <v>#DIV/0!</v>
      </c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spans="1:35" ht="27.95" customHeight="1" x14ac:dyDescent="0.25">
      <c r="B15" s="42">
        <v>1</v>
      </c>
      <c r="C15" s="34" t="s">
        <v>166</v>
      </c>
      <c r="D15" s="30"/>
      <c r="E15" s="30"/>
      <c r="F15" s="27">
        <f t="shared" si="0"/>
        <v>0</v>
      </c>
      <c r="G15" s="28" t="e">
        <f t="shared" ref="G15:G19" si="6">(F15/D15)</f>
        <v>#DIV/0!</v>
      </c>
    </row>
    <row r="16" spans="1:35" ht="27.95" customHeight="1" x14ac:dyDescent="0.25">
      <c r="B16" s="42">
        <f>B20+1</f>
        <v>3</v>
      </c>
      <c r="C16" s="34" t="s">
        <v>164</v>
      </c>
      <c r="D16" s="30"/>
      <c r="E16" s="30"/>
      <c r="F16" s="27">
        <f t="shared" ref="F16" si="7">E16-D16</f>
        <v>0</v>
      </c>
      <c r="G16" s="28" t="e">
        <f t="shared" ref="G16" si="8">(F16/D16)</f>
        <v>#DIV/0!</v>
      </c>
    </row>
    <row r="17" spans="1:35" ht="27.95" customHeight="1" x14ac:dyDescent="0.25">
      <c r="B17" s="42">
        <f t="shared" ref="B17:B18" si="9">B16+1</f>
        <v>4</v>
      </c>
      <c r="C17" s="34" t="s">
        <v>148</v>
      </c>
      <c r="D17" s="30"/>
      <c r="E17" s="30"/>
      <c r="F17" s="27">
        <f t="shared" si="0"/>
        <v>0</v>
      </c>
      <c r="G17" s="28" t="e">
        <f t="shared" si="6"/>
        <v>#DIV/0!</v>
      </c>
    </row>
    <row r="18" spans="1:35" ht="27.95" customHeight="1" x14ac:dyDescent="0.25">
      <c r="B18" s="42">
        <f t="shared" si="9"/>
        <v>5</v>
      </c>
      <c r="C18" s="34" t="s">
        <v>163</v>
      </c>
      <c r="D18" s="30"/>
      <c r="E18" s="30"/>
      <c r="F18" s="27">
        <f t="shared" si="0"/>
        <v>0</v>
      </c>
      <c r="G18" s="28" t="e">
        <f t="shared" si="6"/>
        <v>#DIV/0!</v>
      </c>
    </row>
    <row r="19" spans="1:35" ht="27.95" customHeight="1" x14ac:dyDescent="0.25">
      <c r="B19" s="42" t="e">
        <f>#REF!+1</f>
        <v>#REF!</v>
      </c>
      <c r="C19" s="35" t="s">
        <v>26</v>
      </c>
      <c r="D19" s="30"/>
      <c r="E19" s="30"/>
      <c r="F19" s="27">
        <f t="shared" si="0"/>
        <v>0</v>
      </c>
      <c r="G19" s="28" t="e">
        <f t="shared" si="6"/>
        <v>#DIV/0!</v>
      </c>
    </row>
    <row r="20" spans="1:35" ht="27.95" customHeight="1" x14ac:dyDescent="0.25">
      <c r="B20" s="42">
        <f>B15+1</f>
        <v>2</v>
      </c>
      <c r="C20" s="34" t="s">
        <v>165</v>
      </c>
      <c r="D20" s="30"/>
      <c r="E20" s="30"/>
      <c r="F20" s="27">
        <f>E20-D20</f>
        <v>0</v>
      </c>
      <c r="G20" s="28" t="e">
        <f>(F20/D20)</f>
        <v>#DIV/0!</v>
      </c>
    </row>
    <row r="21" spans="1:35" ht="27.95" customHeight="1" x14ac:dyDescent="0.25">
      <c r="B21" s="52" t="s">
        <v>0</v>
      </c>
      <c r="C21" s="50"/>
      <c r="D21" s="50"/>
      <c r="E21" s="50"/>
      <c r="F21" s="50"/>
      <c r="G21" s="51"/>
    </row>
    <row r="22" spans="1:35" ht="42" customHeight="1" x14ac:dyDescent="0.25">
      <c r="B22" s="52" t="s">
        <v>133</v>
      </c>
      <c r="C22" s="50"/>
      <c r="D22" s="50"/>
      <c r="E22" s="50"/>
      <c r="F22" s="50"/>
      <c r="G22" s="51"/>
    </row>
    <row r="23" spans="1:35" ht="27.95" customHeight="1" x14ac:dyDescent="0.25">
      <c r="B23" s="36"/>
      <c r="C23" s="22" t="s">
        <v>6</v>
      </c>
      <c r="D23" s="23" t="s">
        <v>5</v>
      </c>
      <c r="E23" s="23" t="s">
        <v>7</v>
      </c>
      <c r="F23" s="23" t="s">
        <v>1</v>
      </c>
      <c r="G23" s="23" t="s">
        <v>2</v>
      </c>
    </row>
    <row r="24" spans="1:35" s="17" customFormat="1" ht="27.95" customHeight="1" x14ac:dyDescent="0.25">
      <c r="A24" s="16"/>
      <c r="B24" s="37" t="s">
        <v>132</v>
      </c>
      <c r="C24" s="38" t="s">
        <v>3</v>
      </c>
      <c r="D24" s="26"/>
      <c r="E24" s="26"/>
      <c r="F24" s="32">
        <f t="shared" ref="F24" si="10">E24-D24</f>
        <v>0</v>
      </c>
      <c r="G24" s="33" t="e">
        <f t="shared" ref="G24" si="11">(F24/D24)</f>
        <v>#DIV/0!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</row>
    <row r="25" spans="1:35" ht="27.95" customHeight="1" x14ac:dyDescent="0.25">
      <c r="B25" s="30">
        <v>1</v>
      </c>
      <c r="C25" s="39" t="s">
        <v>28</v>
      </c>
      <c r="D25" s="30"/>
      <c r="E25" s="30"/>
      <c r="F25" s="27">
        <f>E25-D25</f>
        <v>0</v>
      </c>
      <c r="G25" s="28" t="e">
        <f>(F25/D25)</f>
        <v>#DIV/0!</v>
      </c>
    </row>
    <row r="26" spans="1:35" ht="27.95" customHeight="1" x14ac:dyDescent="0.25">
      <c r="B26" s="42">
        <v>2</v>
      </c>
      <c r="C26" s="40" t="s">
        <v>27</v>
      </c>
      <c r="D26" s="30"/>
      <c r="E26" s="30"/>
      <c r="F26" s="27">
        <f t="shared" ref="F26:F33" si="12">E26-D26</f>
        <v>0</v>
      </c>
      <c r="G26" s="28" t="e">
        <f>(F26/D26)</f>
        <v>#DIV/0!</v>
      </c>
    </row>
    <row r="27" spans="1:35" ht="27.95" customHeight="1" x14ac:dyDescent="0.25">
      <c r="B27" s="53" t="s">
        <v>0</v>
      </c>
      <c r="C27" s="54"/>
      <c r="D27" s="54"/>
      <c r="E27" s="54"/>
      <c r="F27" s="54"/>
      <c r="G27" s="55"/>
    </row>
    <row r="28" spans="1:35" ht="42" customHeight="1" x14ac:dyDescent="0.25">
      <c r="B28" s="52" t="s">
        <v>137</v>
      </c>
      <c r="C28" s="50"/>
      <c r="D28" s="50"/>
      <c r="E28" s="50"/>
      <c r="F28" s="50"/>
      <c r="G28" s="51"/>
    </row>
    <row r="29" spans="1:35" ht="27.95" customHeight="1" x14ac:dyDescent="0.25">
      <c r="B29" s="36"/>
      <c r="C29" s="22" t="s">
        <v>6</v>
      </c>
      <c r="D29" s="23" t="s">
        <v>5</v>
      </c>
      <c r="E29" s="23" t="s">
        <v>7</v>
      </c>
      <c r="F29" s="23" t="s">
        <v>1</v>
      </c>
      <c r="G29" s="23" t="s">
        <v>2</v>
      </c>
    </row>
    <row r="30" spans="1:35" s="17" customFormat="1" ht="27.95" customHeight="1" x14ac:dyDescent="0.25">
      <c r="A30" s="16"/>
      <c r="B30" s="37" t="s">
        <v>132</v>
      </c>
      <c r="C30" s="38" t="s">
        <v>3</v>
      </c>
      <c r="D30" s="41"/>
      <c r="E30" s="41"/>
      <c r="F30" s="32">
        <f t="shared" ref="F30" si="13">E30-D30</f>
        <v>0</v>
      </c>
      <c r="G30" s="33" t="e">
        <f t="shared" ref="G30" si="14">(F30/D30)</f>
        <v>#DIV/0!</v>
      </c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</row>
    <row r="31" spans="1:35" ht="27.95" hidden="1" customHeight="1" x14ac:dyDescent="0.25">
      <c r="B31" s="30">
        <v>1</v>
      </c>
      <c r="C31" s="34" t="s">
        <v>29</v>
      </c>
      <c r="D31" s="30"/>
      <c r="E31" s="30"/>
      <c r="F31" s="27">
        <f t="shared" si="12"/>
        <v>0</v>
      </c>
      <c r="G31" s="28" t="e">
        <f t="shared" ref="G31:G47" si="15">(F31/D31)</f>
        <v>#DIV/0!</v>
      </c>
    </row>
    <row r="32" spans="1:35" ht="27.95" customHeight="1" x14ac:dyDescent="0.25">
      <c r="B32" s="30">
        <v>1</v>
      </c>
      <c r="C32" s="34" t="s">
        <v>30</v>
      </c>
      <c r="D32" s="30"/>
      <c r="E32" s="30"/>
      <c r="F32" s="27">
        <f t="shared" si="12"/>
        <v>0</v>
      </c>
      <c r="G32" s="28" t="e">
        <f t="shared" si="15"/>
        <v>#DIV/0!</v>
      </c>
    </row>
    <row r="33" spans="1:35" ht="27.95" customHeight="1" x14ac:dyDescent="0.25">
      <c r="B33" s="30">
        <f t="shared" ref="B33:B46" si="16">B32+1</f>
        <v>2</v>
      </c>
      <c r="C33" s="34" t="s">
        <v>31</v>
      </c>
      <c r="D33" s="30"/>
      <c r="E33" s="30"/>
      <c r="F33" s="27">
        <f t="shared" si="12"/>
        <v>0</v>
      </c>
      <c r="G33" s="28" t="e">
        <f t="shared" si="15"/>
        <v>#DIV/0!</v>
      </c>
    </row>
    <row r="34" spans="1:35" ht="27.95" customHeight="1" x14ac:dyDescent="0.25">
      <c r="B34" s="30">
        <f t="shared" si="16"/>
        <v>3</v>
      </c>
      <c r="C34" s="34" t="s">
        <v>32</v>
      </c>
      <c r="D34" s="30"/>
      <c r="E34" s="30"/>
      <c r="F34" s="27">
        <f t="shared" ref="F34:F41" si="17">E34-D34</f>
        <v>0</v>
      </c>
      <c r="G34" s="28" t="e">
        <f t="shared" si="15"/>
        <v>#DIV/0!</v>
      </c>
    </row>
    <row r="35" spans="1:35" ht="27.95" customHeight="1" x14ac:dyDescent="0.25">
      <c r="B35" s="30">
        <f t="shared" si="16"/>
        <v>4</v>
      </c>
      <c r="C35" s="34" t="s">
        <v>33</v>
      </c>
      <c r="D35" s="30"/>
      <c r="E35" s="30"/>
      <c r="F35" s="27">
        <f t="shared" si="17"/>
        <v>0</v>
      </c>
      <c r="G35" s="28" t="e">
        <f t="shared" si="15"/>
        <v>#DIV/0!</v>
      </c>
    </row>
    <row r="36" spans="1:35" ht="27.95" customHeight="1" x14ac:dyDescent="0.25">
      <c r="B36" s="30">
        <f t="shared" si="16"/>
        <v>5</v>
      </c>
      <c r="C36" s="34" t="s">
        <v>34</v>
      </c>
      <c r="D36" s="30"/>
      <c r="E36" s="30"/>
      <c r="F36" s="27">
        <f t="shared" si="17"/>
        <v>0</v>
      </c>
      <c r="G36" s="28" t="e">
        <f t="shared" si="15"/>
        <v>#DIV/0!</v>
      </c>
    </row>
    <row r="37" spans="1:35" ht="27.95" customHeight="1" x14ac:dyDescent="0.25">
      <c r="B37" s="30">
        <f t="shared" si="16"/>
        <v>6</v>
      </c>
      <c r="C37" s="34" t="s">
        <v>35</v>
      </c>
      <c r="D37" s="30"/>
      <c r="E37" s="30"/>
      <c r="F37" s="27">
        <f t="shared" si="17"/>
        <v>0</v>
      </c>
      <c r="G37" s="28" t="e">
        <f t="shared" si="15"/>
        <v>#DIV/0!</v>
      </c>
    </row>
    <row r="38" spans="1:35" ht="27.95" customHeight="1" x14ac:dyDescent="0.25">
      <c r="B38" s="30">
        <f t="shared" si="16"/>
        <v>7</v>
      </c>
      <c r="C38" s="34" t="s">
        <v>36</v>
      </c>
      <c r="D38" s="30"/>
      <c r="E38" s="30"/>
      <c r="F38" s="27">
        <f t="shared" si="17"/>
        <v>0</v>
      </c>
      <c r="G38" s="28" t="e">
        <f t="shared" si="15"/>
        <v>#DIV/0!</v>
      </c>
    </row>
    <row r="39" spans="1:35" ht="27.95" customHeight="1" x14ac:dyDescent="0.25">
      <c r="B39" s="30">
        <f t="shared" si="16"/>
        <v>8</v>
      </c>
      <c r="C39" s="34" t="s">
        <v>37</v>
      </c>
      <c r="D39" s="30"/>
      <c r="E39" s="30"/>
      <c r="F39" s="27">
        <f t="shared" si="17"/>
        <v>0</v>
      </c>
      <c r="G39" s="28" t="e">
        <f t="shared" si="15"/>
        <v>#DIV/0!</v>
      </c>
    </row>
    <row r="40" spans="1:35" ht="27.95" customHeight="1" x14ac:dyDescent="0.25">
      <c r="B40" s="30">
        <f t="shared" si="16"/>
        <v>9</v>
      </c>
      <c r="C40" s="34" t="s">
        <v>38</v>
      </c>
      <c r="D40" s="42"/>
      <c r="E40" s="42"/>
      <c r="F40" s="27">
        <f t="shared" si="17"/>
        <v>0</v>
      </c>
      <c r="G40" s="28" t="e">
        <f t="shared" si="15"/>
        <v>#DIV/0!</v>
      </c>
    </row>
    <row r="41" spans="1:35" ht="27.95" customHeight="1" x14ac:dyDescent="0.25">
      <c r="B41" s="30">
        <f t="shared" si="16"/>
        <v>10</v>
      </c>
      <c r="C41" s="34" t="s">
        <v>39</v>
      </c>
      <c r="D41" s="30"/>
      <c r="E41" s="30"/>
      <c r="F41" s="27">
        <f t="shared" si="17"/>
        <v>0</v>
      </c>
      <c r="G41" s="28" t="e">
        <f t="shared" si="15"/>
        <v>#DIV/0!</v>
      </c>
    </row>
    <row r="42" spans="1:35" ht="27.95" customHeight="1" x14ac:dyDescent="0.25">
      <c r="B42" s="30">
        <f t="shared" si="16"/>
        <v>11</v>
      </c>
      <c r="C42" s="34" t="s">
        <v>40</v>
      </c>
      <c r="D42" s="30"/>
      <c r="E42" s="30"/>
      <c r="F42" s="27">
        <f t="shared" ref="F42:F58" si="18">E42-D42</f>
        <v>0</v>
      </c>
      <c r="G42" s="28" t="e">
        <f t="shared" si="15"/>
        <v>#DIV/0!</v>
      </c>
    </row>
    <row r="43" spans="1:35" ht="27.95" customHeight="1" x14ac:dyDescent="0.25">
      <c r="B43" s="30">
        <f t="shared" si="16"/>
        <v>12</v>
      </c>
      <c r="C43" s="34" t="s">
        <v>42</v>
      </c>
      <c r="D43" s="30"/>
      <c r="E43" s="30"/>
      <c r="F43" s="27">
        <f t="shared" si="18"/>
        <v>0</v>
      </c>
      <c r="G43" s="28" t="e">
        <f t="shared" si="15"/>
        <v>#DIV/0!</v>
      </c>
    </row>
    <row r="44" spans="1:35" ht="27.95" customHeight="1" x14ac:dyDescent="0.25">
      <c r="B44" s="30">
        <f t="shared" si="16"/>
        <v>13</v>
      </c>
      <c r="C44" s="34" t="s">
        <v>43</v>
      </c>
      <c r="D44" s="30"/>
      <c r="E44" s="30"/>
      <c r="F44" s="27">
        <f t="shared" si="18"/>
        <v>0</v>
      </c>
      <c r="G44" s="28" t="e">
        <f t="shared" si="15"/>
        <v>#DIV/0!</v>
      </c>
    </row>
    <row r="45" spans="1:35" ht="27.95" customHeight="1" x14ac:dyDescent="0.25">
      <c r="B45" s="30">
        <f t="shared" si="16"/>
        <v>14</v>
      </c>
      <c r="C45" s="34" t="s">
        <v>44</v>
      </c>
      <c r="D45" s="30"/>
      <c r="E45" s="30"/>
      <c r="F45" s="27">
        <f t="shared" si="18"/>
        <v>0</v>
      </c>
      <c r="G45" s="28" t="e">
        <f t="shared" si="15"/>
        <v>#DIV/0!</v>
      </c>
    </row>
    <row r="46" spans="1:35" s="17" customFormat="1" ht="27.95" hidden="1" customHeight="1" x14ac:dyDescent="0.25">
      <c r="A46" s="16"/>
      <c r="B46" s="30">
        <f t="shared" si="16"/>
        <v>15</v>
      </c>
      <c r="C46" s="34" t="s">
        <v>45</v>
      </c>
      <c r="D46" s="30"/>
      <c r="E46" s="30"/>
      <c r="F46" s="27">
        <f t="shared" si="18"/>
        <v>0</v>
      </c>
      <c r="G46" s="28" t="e">
        <f t="shared" si="15"/>
        <v>#DIV/0!</v>
      </c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</row>
    <row r="47" spans="1:35" ht="27.95" customHeight="1" x14ac:dyDescent="0.25">
      <c r="B47" s="30">
        <f>B45+1</f>
        <v>15</v>
      </c>
      <c r="C47" s="34" t="s">
        <v>149</v>
      </c>
      <c r="D47" s="30"/>
      <c r="E47" s="30"/>
      <c r="F47" s="27">
        <f t="shared" ref="F47" si="19">E47-D47</f>
        <v>0</v>
      </c>
      <c r="G47" s="28" t="e">
        <f t="shared" si="15"/>
        <v>#DIV/0!</v>
      </c>
    </row>
    <row r="48" spans="1:35" ht="27.95" customHeight="1" x14ac:dyDescent="0.25">
      <c r="B48" s="53" t="s">
        <v>0</v>
      </c>
      <c r="C48" s="54"/>
      <c r="D48" s="54"/>
      <c r="E48" s="54"/>
      <c r="F48" s="54"/>
      <c r="G48" s="55"/>
    </row>
    <row r="49" spans="1:35" ht="42" customHeight="1" x14ac:dyDescent="0.25">
      <c r="B49" s="52" t="s">
        <v>138</v>
      </c>
      <c r="C49" s="50"/>
      <c r="D49" s="50"/>
      <c r="E49" s="50"/>
      <c r="F49" s="50"/>
      <c r="G49" s="51"/>
    </row>
    <row r="50" spans="1:35" ht="27.95" customHeight="1" x14ac:dyDescent="0.25">
      <c r="B50" s="36"/>
      <c r="C50" s="22" t="s">
        <v>6</v>
      </c>
      <c r="D50" s="23" t="s">
        <v>5</v>
      </c>
      <c r="E50" s="23" t="s">
        <v>7</v>
      </c>
      <c r="F50" s="23" t="s">
        <v>1</v>
      </c>
      <c r="G50" s="23" t="s">
        <v>2</v>
      </c>
    </row>
    <row r="51" spans="1:35" s="17" customFormat="1" ht="27.95" customHeight="1" x14ac:dyDescent="0.25">
      <c r="A51" s="16"/>
      <c r="B51" s="24" t="s">
        <v>132</v>
      </c>
      <c r="C51" s="43" t="s">
        <v>3</v>
      </c>
      <c r="D51" s="41"/>
      <c r="E51" s="41"/>
      <c r="F51" s="32">
        <f t="shared" ref="F51" si="20">E51-D51</f>
        <v>0</v>
      </c>
      <c r="G51" s="33" t="e">
        <f t="shared" ref="G51" si="21">(F51/D51)</f>
        <v>#DIV/0!</v>
      </c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</row>
    <row r="52" spans="1:35" ht="27.95" customHeight="1" x14ac:dyDescent="0.25">
      <c r="B52" s="30">
        <v>1</v>
      </c>
      <c r="C52" s="34" t="s">
        <v>46</v>
      </c>
      <c r="D52" s="30"/>
      <c r="E52" s="30"/>
      <c r="F52" s="27">
        <f t="shared" si="18"/>
        <v>0</v>
      </c>
      <c r="G52" s="28" t="e">
        <f t="shared" ref="G52:G69" si="22">(F52/D52)</f>
        <v>#DIV/0!</v>
      </c>
    </row>
    <row r="53" spans="1:35" ht="27.95" customHeight="1" x14ac:dyDescent="0.25">
      <c r="B53" s="30">
        <f t="shared" ref="B53:B69" si="23">B52+1</f>
        <v>2</v>
      </c>
      <c r="C53" s="34" t="s">
        <v>47</v>
      </c>
      <c r="D53" s="30"/>
      <c r="E53" s="30"/>
      <c r="F53" s="27">
        <f t="shared" si="18"/>
        <v>0</v>
      </c>
      <c r="G53" s="28" t="e">
        <f t="shared" si="22"/>
        <v>#DIV/0!</v>
      </c>
    </row>
    <row r="54" spans="1:35" ht="27.95" customHeight="1" x14ac:dyDescent="0.25">
      <c r="B54" s="30">
        <f t="shared" si="23"/>
        <v>3</v>
      </c>
      <c r="C54" s="34" t="s">
        <v>48</v>
      </c>
      <c r="D54" s="30"/>
      <c r="E54" s="30"/>
      <c r="F54" s="27">
        <f t="shared" si="18"/>
        <v>0</v>
      </c>
      <c r="G54" s="28" t="e">
        <f t="shared" si="22"/>
        <v>#DIV/0!</v>
      </c>
    </row>
    <row r="55" spans="1:35" ht="31.5" customHeight="1" x14ac:dyDescent="0.25">
      <c r="B55" s="30">
        <f t="shared" si="23"/>
        <v>4</v>
      </c>
      <c r="C55" s="34" t="s">
        <v>159</v>
      </c>
      <c r="D55" s="30"/>
      <c r="E55" s="30"/>
      <c r="F55" s="27">
        <f t="shared" si="18"/>
        <v>0</v>
      </c>
      <c r="G55" s="28" t="e">
        <f t="shared" si="22"/>
        <v>#DIV/0!</v>
      </c>
    </row>
    <row r="56" spans="1:35" ht="27.95" customHeight="1" x14ac:dyDescent="0.25">
      <c r="B56" s="30">
        <f t="shared" si="23"/>
        <v>5</v>
      </c>
      <c r="C56" s="34" t="s">
        <v>49</v>
      </c>
      <c r="D56" s="30"/>
      <c r="E56" s="30"/>
      <c r="F56" s="27">
        <f t="shared" si="18"/>
        <v>0</v>
      </c>
      <c r="G56" s="28" t="e">
        <f t="shared" si="22"/>
        <v>#DIV/0!</v>
      </c>
    </row>
    <row r="57" spans="1:35" ht="27.95" customHeight="1" x14ac:dyDescent="0.25">
      <c r="B57" s="30">
        <f t="shared" si="23"/>
        <v>6</v>
      </c>
      <c r="C57" s="34" t="s">
        <v>50</v>
      </c>
      <c r="D57" s="30"/>
      <c r="E57" s="30"/>
      <c r="F57" s="27">
        <f t="shared" si="18"/>
        <v>0</v>
      </c>
      <c r="G57" s="28" t="e">
        <f t="shared" si="22"/>
        <v>#DIV/0!</v>
      </c>
    </row>
    <row r="58" spans="1:35" ht="27.95" customHeight="1" x14ac:dyDescent="0.25">
      <c r="B58" s="30">
        <f t="shared" si="23"/>
        <v>7</v>
      </c>
      <c r="C58" s="34" t="s">
        <v>51</v>
      </c>
      <c r="D58" s="30"/>
      <c r="E58" s="30"/>
      <c r="F58" s="27">
        <f t="shared" si="18"/>
        <v>0</v>
      </c>
      <c r="G58" s="28" t="e">
        <f t="shared" si="22"/>
        <v>#DIV/0!</v>
      </c>
    </row>
    <row r="59" spans="1:35" ht="27.95" customHeight="1" x14ac:dyDescent="0.25">
      <c r="B59" s="30">
        <f t="shared" si="23"/>
        <v>8</v>
      </c>
      <c r="C59" s="34" t="s">
        <v>52</v>
      </c>
      <c r="D59" s="30"/>
      <c r="E59" s="30"/>
      <c r="F59" s="27">
        <f t="shared" ref="F59:F69" si="24">E59-D59</f>
        <v>0</v>
      </c>
      <c r="G59" s="28" t="e">
        <f t="shared" si="22"/>
        <v>#DIV/0!</v>
      </c>
    </row>
    <row r="60" spans="1:35" ht="27.95" customHeight="1" x14ac:dyDescent="0.25">
      <c r="B60" s="30">
        <f t="shared" si="23"/>
        <v>9</v>
      </c>
      <c r="C60" s="34" t="s">
        <v>53</v>
      </c>
      <c r="D60" s="30"/>
      <c r="E60" s="30"/>
      <c r="F60" s="27">
        <f t="shared" si="24"/>
        <v>0</v>
      </c>
      <c r="G60" s="28" t="e">
        <f t="shared" si="22"/>
        <v>#DIV/0!</v>
      </c>
    </row>
    <row r="61" spans="1:35" ht="27.95" customHeight="1" x14ac:dyDescent="0.25">
      <c r="B61" s="30">
        <f t="shared" si="23"/>
        <v>10</v>
      </c>
      <c r="C61" s="34" t="s">
        <v>54</v>
      </c>
      <c r="D61" s="30"/>
      <c r="E61" s="30"/>
      <c r="F61" s="27">
        <f t="shared" si="24"/>
        <v>0</v>
      </c>
      <c r="G61" s="28" t="e">
        <f t="shared" si="22"/>
        <v>#DIV/0!</v>
      </c>
    </row>
    <row r="62" spans="1:35" ht="27.95" customHeight="1" x14ac:dyDescent="0.25">
      <c r="B62" s="30">
        <f t="shared" si="23"/>
        <v>11</v>
      </c>
      <c r="C62" s="34" t="s">
        <v>55</v>
      </c>
      <c r="D62" s="30"/>
      <c r="E62" s="30"/>
      <c r="F62" s="27">
        <f t="shared" si="24"/>
        <v>0</v>
      </c>
      <c r="G62" s="28" t="e">
        <f t="shared" si="22"/>
        <v>#DIV/0!</v>
      </c>
    </row>
    <row r="63" spans="1:35" ht="27.95" customHeight="1" x14ac:dyDescent="0.25">
      <c r="B63" s="30">
        <f t="shared" si="23"/>
        <v>12</v>
      </c>
      <c r="C63" s="34" t="s">
        <v>56</v>
      </c>
      <c r="D63" s="30"/>
      <c r="E63" s="30"/>
      <c r="F63" s="27">
        <f t="shared" si="24"/>
        <v>0</v>
      </c>
      <c r="G63" s="28" t="e">
        <f t="shared" si="22"/>
        <v>#DIV/0!</v>
      </c>
    </row>
    <row r="64" spans="1:35" ht="27.95" customHeight="1" x14ac:dyDescent="0.25">
      <c r="B64" s="30">
        <f t="shared" si="23"/>
        <v>13</v>
      </c>
      <c r="C64" s="34" t="s">
        <v>57</v>
      </c>
      <c r="D64" s="30"/>
      <c r="E64" s="30"/>
      <c r="F64" s="27">
        <f t="shared" si="24"/>
        <v>0</v>
      </c>
      <c r="G64" s="28" t="e">
        <f t="shared" si="22"/>
        <v>#DIV/0!</v>
      </c>
    </row>
    <row r="65" spans="1:35" ht="27.95" customHeight="1" x14ac:dyDescent="0.25">
      <c r="B65" s="30">
        <f t="shared" si="23"/>
        <v>14</v>
      </c>
      <c r="C65" s="34" t="s">
        <v>58</v>
      </c>
      <c r="D65" s="30"/>
      <c r="E65" s="30"/>
      <c r="F65" s="27">
        <f t="shared" si="24"/>
        <v>0</v>
      </c>
      <c r="G65" s="28" t="e">
        <f t="shared" si="22"/>
        <v>#DIV/0!</v>
      </c>
    </row>
    <row r="66" spans="1:35" ht="27.95" customHeight="1" x14ac:dyDescent="0.25">
      <c r="B66" s="30">
        <f t="shared" si="23"/>
        <v>15</v>
      </c>
      <c r="C66" s="34" t="s">
        <v>59</v>
      </c>
      <c r="D66" s="30"/>
      <c r="E66" s="30"/>
      <c r="F66" s="27">
        <f t="shared" si="24"/>
        <v>0</v>
      </c>
      <c r="G66" s="28" t="e">
        <f t="shared" si="22"/>
        <v>#DIV/0!</v>
      </c>
    </row>
    <row r="67" spans="1:35" ht="27.95" customHeight="1" x14ac:dyDescent="0.25">
      <c r="B67" s="30">
        <f t="shared" si="23"/>
        <v>16</v>
      </c>
      <c r="C67" s="34" t="s">
        <v>60</v>
      </c>
      <c r="D67" s="30"/>
      <c r="E67" s="30"/>
      <c r="F67" s="27">
        <f t="shared" si="24"/>
        <v>0</v>
      </c>
      <c r="G67" s="28" t="e">
        <f t="shared" si="22"/>
        <v>#DIV/0!</v>
      </c>
    </row>
    <row r="68" spans="1:35" ht="27.95" customHeight="1" x14ac:dyDescent="0.25">
      <c r="B68" s="30">
        <f t="shared" si="23"/>
        <v>17</v>
      </c>
      <c r="C68" s="34" t="s">
        <v>61</v>
      </c>
      <c r="D68" s="30"/>
      <c r="E68" s="30"/>
      <c r="F68" s="27">
        <f t="shared" si="24"/>
        <v>0</v>
      </c>
      <c r="G68" s="28" t="e">
        <f t="shared" si="22"/>
        <v>#DIV/0!</v>
      </c>
    </row>
    <row r="69" spans="1:35" ht="27.95" customHeight="1" x14ac:dyDescent="0.25">
      <c r="B69" s="30">
        <f t="shared" si="23"/>
        <v>18</v>
      </c>
      <c r="C69" s="34" t="s">
        <v>168</v>
      </c>
      <c r="D69" s="30"/>
      <c r="E69" s="30"/>
      <c r="F69" s="27">
        <f t="shared" si="24"/>
        <v>0</v>
      </c>
      <c r="G69" s="28" t="e">
        <f t="shared" si="22"/>
        <v>#DIV/0!</v>
      </c>
    </row>
    <row r="70" spans="1:35" ht="27.95" customHeight="1" x14ac:dyDescent="0.25">
      <c r="B70" s="53" t="s">
        <v>0</v>
      </c>
      <c r="C70" s="54"/>
      <c r="D70" s="54"/>
      <c r="E70" s="54"/>
      <c r="F70" s="54"/>
      <c r="G70" s="55"/>
    </row>
    <row r="71" spans="1:35" ht="42" customHeight="1" x14ac:dyDescent="0.25">
      <c r="B71" s="52" t="s">
        <v>139</v>
      </c>
      <c r="C71" s="50"/>
      <c r="D71" s="50"/>
      <c r="E71" s="50"/>
      <c r="F71" s="50"/>
      <c r="G71" s="51"/>
    </row>
    <row r="72" spans="1:35" ht="27.95" customHeight="1" x14ac:dyDescent="0.25">
      <c r="B72" s="44"/>
      <c r="C72" s="22" t="s">
        <v>6</v>
      </c>
      <c r="D72" s="23" t="s">
        <v>5</v>
      </c>
      <c r="E72" s="23" t="s">
        <v>7</v>
      </c>
      <c r="F72" s="23" t="s">
        <v>1</v>
      </c>
      <c r="G72" s="23" t="s">
        <v>2</v>
      </c>
    </row>
    <row r="73" spans="1:35" s="17" customFormat="1" ht="27.95" customHeight="1" x14ac:dyDescent="0.25">
      <c r="A73" s="16"/>
      <c r="B73" s="24" t="s">
        <v>132</v>
      </c>
      <c r="C73" s="25" t="s">
        <v>3</v>
      </c>
      <c r="D73" s="41"/>
      <c r="E73" s="41"/>
      <c r="F73" s="32">
        <f t="shared" ref="F73" si="25">E73-D73</f>
        <v>0</v>
      </c>
      <c r="G73" s="33" t="e">
        <f t="shared" ref="G73" si="26">(F73/D73)</f>
        <v>#DIV/0!</v>
      </c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</row>
    <row r="74" spans="1:35" ht="27.95" customHeight="1" x14ac:dyDescent="0.25">
      <c r="B74" s="30">
        <v>1</v>
      </c>
      <c r="C74" s="34" t="s">
        <v>169</v>
      </c>
      <c r="D74" s="30"/>
      <c r="E74" s="30"/>
      <c r="F74" s="27">
        <f t="shared" ref="F74:F78" si="27">E74-D74</f>
        <v>0</v>
      </c>
      <c r="G74" s="28" t="e">
        <f t="shared" ref="G74:G87" si="28">(F74/D74)</f>
        <v>#DIV/0!</v>
      </c>
    </row>
    <row r="75" spans="1:35" ht="27.95" customHeight="1" x14ac:dyDescent="0.25">
      <c r="B75" s="30">
        <f>B74+1</f>
        <v>2</v>
      </c>
      <c r="C75" s="34" t="s">
        <v>162</v>
      </c>
      <c r="D75" s="30"/>
      <c r="E75" s="30"/>
      <c r="F75" s="27">
        <f t="shared" si="27"/>
        <v>0</v>
      </c>
      <c r="G75" s="28" t="e">
        <f t="shared" si="28"/>
        <v>#DIV/0!</v>
      </c>
    </row>
    <row r="76" spans="1:35" ht="27.95" customHeight="1" x14ac:dyDescent="0.25">
      <c r="B76" s="30">
        <f t="shared" ref="B76:B87" si="29">B75+1</f>
        <v>3</v>
      </c>
      <c r="C76" s="34" t="s">
        <v>62</v>
      </c>
      <c r="D76" s="30"/>
      <c r="E76" s="30"/>
      <c r="F76" s="27">
        <f t="shared" si="27"/>
        <v>0</v>
      </c>
      <c r="G76" s="28" t="e">
        <f t="shared" si="28"/>
        <v>#DIV/0!</v>
      </c>
    </row>
    <row r="77" spans="1:35" ht="27.95" customHeight="1" x14ac:dyDescent="0.25">
      <c r="B77" s="30">
        <f t="shared" si="29"/>
        <v>4</v>
      </c>
      <c r="C77" s="34" t="s">
        <v>63</v>
      </c>
      <c r="D77" s="30"/>
      <c r="E77" s="30"/>
      <c r="F77" s="27">
        <f t="shared" si="27"/>
        <v>0</v>
      </c>
      <c r="G77" s="28" t="e">
        <f t="shared" si="28"/>
        <v>#DIV/0!</v>
      </c>
    </row>
    <row r="78" spans="1:35" ht="27.95" customHeight="1" x14ac:dyDescent="0.25">
      <c r="B78" s="30">
        <f t="shared" si="29"/>
        <v>5</v>
      </c>
      <c r="C78" s="34" t="s">
        <v>64</v>
      </c>
      <c r="D78" s="30"/>
      <c r="E78" s="30"/>
      <c r="F78" s="27">
        <f t="shared" si="27"/>
        <v>0</v>
      </c>
      <c r="G78" s="28" t="e">
        <f t="shared" si="28"/>
        <v>#DIV/0!</v>
      </c>
    </row>
    <row r="79" spans="1:35" ht="27.95" customHeight="1" x14ac:dyDescent="0.25">
      <c r="B79" s="30">
        <f t="shared" si="29"/>
        <v>6</v>
      </c>
      <c r="C79" s="34" t="s">
        <v>66</v>
      </c>
      <c r="D79" s="30"/>
      <c r="E79" s="30"/>
      <c r="F79" s="27">
        <f t="shared" ref="F79:F95" si="30">E79-D79</f>
        <v>0</v>
      </c>
      <c r="G79" s="28" t="e">
        <f t="shared" si="28"/>
        <v>#DIV/0!</v>
      </c>
    </row>
    <row r="80" spans="1:35" s="11" customFormat="1" ht="27.95" customHeight="1" x14ac:dyDescent="0.25">
      <c r="A80" s="15"/>
      <c r="B80" s="30">
        <f t="shared" si="29"/>
        <v>7</v>
      </c>
      <c r="C80" s="34" t="s">
        <v>67</v>
      </c>
      <c r="D80" s="30"/>
      <c r="E80" s="30"/>
      <c r="F80" s="27">
        <f t="shared" si="30"/>
        <v>0</v>
      </c>
      <c r="G80" s="28" t="e">
        <f t="shared" si="28"/>
        <v>#DIV/0!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</row>
    <row r="81" spans="1:35" ht="27.95" customHeight="1" x14ac:dyDescent="0.25">
      <c r="B81" s="30">
        <f t="shared" si="29"/>
        <v>8</v>
      </c>
      <c r="C81" s="34" t="s">
        <v>68</v>
      </c>
      <c r="D81" s="30"/>
      <c r="E81" s="30"/>
      <c r="F81" s="27">
        <f t="shared" si="30"/>
        <v>0</v>
      </c>
      <c r="G81" s="28" t="e">
        <f t="shared" si="28"/>
        <v>#DIV/0!</v>
      </c>
    </row>
    <row r="82" spans="1:35" ht="27.95" customHeight="1" x14ac:dyDescent="0.25">
      <c r="B82" s="30">
        <f t="shared" si="29"/>
        <v>9</v>
      </c>
      <c r="C82" s="34" t="s">
        <v>69</v>
      </c>
      <c r="D82" s="30"/>
      <c r="E82" s="30"/>
      <c r="F82" s="27">
        <f t="shared" si="30"/>
        <v>0</v>
      </c>
      <c r="G82" s="28" t="e">
        <f t="shared" si="28"/>
        <v>#DIV/0!</v>
      </c>
    </row>
    <row r="83" spans="1:35" ht="27.95" customHeight="1" x14ac:dyDescent="0.25">
      <c r="B83" s="30">
        <f t="shared" si="29"/>
        <v>10</v>
      </c>
      <c r="C83" s="34" t="s">
        <v>70</v>
      </c>
      <c r="D83" s="30"/>
      <c r="E83" s="30"/>
      <c r="F83" s="27">
        <f t="shared" si="30"/>
        <v>0</v>
      </c>
      <c r="G83" s="28" t="e">
        <f t="shared" si="28"/>
        <v>#DIV/0!</v>
      </c>
    </row>
    <row r="84" spans="1:35" ht="27.95" customHeight="1" x14ac:dyDescent="0.25">
      <c r="B84" s="30">
        <f t="shared" si="29"/>
        <v>11</v>
      </c>
      <c r="C84" s="34" t="s">
        <v>150</v>
      </c>
      <c r="D84" s="30"/>
      <c r="E84" s="30"/>
      <c r="F84" s="27">
        <f t="shared" si="30"/>
        <v>0</v>
      </c>
      <c r="G84" s="28" t="e">
        <f t="shared" si="28"/>
        <v>#DIV/0!</v>
      </c>
    </row>
    <row r="85" spans="1:35" ht="27.95" customHeight="1" x14ac:dyDescent="0.25">
      <c r="B85" s="30">
        <f t="shared" si="29"/>
        <v>12</v>
      </c>
      <c r="C85" s="34" t="s">
        <v>151</v>
      </c>
      <c r="D85" s="30"/>
      <c r="E85" s="30"/>
      <c r="F85" s="27">
        <f t="shared" si="30"/>
        <v>0</v>
      </c>
      <c r="G85" s="28" t="e">
        <f t="shared" si="28"/>
        <v>#DIV/0!</v>
      </c>
    </row>
    <row r="86" spans="1:35" ht="27.95" customHeight="1" x14ac:dyDescent="0.25">
      <c r="B86" s="30">
        <f t="shared" si="29"/>
        <v>13</v>
      </c>
      <c r="C86" s="34" t="s">
        <v>71</v>
      </c>
      <c r="D86" s="30"/>
      <c r="E86" s="30"/>
      <c r="F86" s="27">
        <f t="shared" si="30"/>
        <v>0</v>
      </c>
      <c r="G86" s="28" t="e">
        <f t="shared" si="28"/>
        <v>#DIV/0!</v>
      </c>
    </row>
    <row r="87" spans="1:35" s="17" customFormat="1" ht="27.95" customHeight="1" x14ac:dyDescent="0.25">
      <c r="A87" s="16"/>
      <c r="B87" s="30">
        <f t="shared" si="29"/>
        <v>14</v>
      </c>
      <c r="C87" s="34" t="s">
        <v>72</v>
      </c>
      <c r="D87" s="30"/>
      <c r="E87" s="30"/>
      <c r="F87" s="27">
        <f t="shared" si="30"/>
        <v>0</v>
      </c>
      <c r="G87" s="28" t="e">
        <f t="shared" si="28"/>
        <v>#DIV/0!</v>
      </c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</row>
    <row r="88" spans="1:35" ht="27.95" customHeight="1" x14ac:dyDescent="0.25">
      <c r="B88" s="53" t="s">
        <v>0</v>
      </c>
      <c r="C88" s="54"/>
      <c r="D88" s="54"/>
      <c r="E88" s="54"/>
      <c r="F88" s="54"/>
      <c r="G88" s="55"/>
    </row>
    <row r="89" spans="1:35" ht="42" customHeight="1" x14ac:dyDescent="0.25">
      <c r="B89" s="52" t="s">
        <v>140</v>
      </c>
      <c r="C89" s="50"/>
      <c r="D89" s="50"/>
      <c r="E89" s="50"/>
      <c r="F89" s="50"/>
      <c r="G89" s="51"/>
    </row>
    <row r="90" spans="1:35" s="17" customFormat="1" ht="27.95" customHeight="1" x14ac:dyDescent="0.25">
      <c r="A90" s="16"/>
      <c r="B90" s="45"/>
      <c r="C90" s="22" t="s">
        <v>6</v>
      </c>
      <c r="D90" s="23" t="s">
        <v>5</v>
      </c>
      <c r="E90" s="23" t="s">
        <v>7</v>
      </c>
      <c r="F90" s="23" t="s">
        <v>1</v>
      </c>
      <c r="G90" s="23" t="s">
        <v>2</v>
      </c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</row>
    <row r="91" spans="1:35" s="17" customFormat="1" ht="27.95" customHeight="1" x14ac:dyDescent="0.25">
      <c r="A91" s="16"/>
      <c r="B91" s="37" t="s">
        <v>132</v>
      </c>
      <c r="C91" s="25" t="s">
        <v>3</v>
      </c>
      <c r="D91" s="26"/>
      <c r="E91" s="26"/>
      <c r="F91" s="32">
        <f t="shared" ref="F91" si="31">E91-D91</f>
        <v>0</v>
      </c>
      <c r="G91" s="33" t="e">
        <f t="shared" ref="G91" si="32">(F91/D91)</f>
        <v>#DIV/0!</v>
      </c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</row>
    <row r="92" spans="1:35" ht="27.95" customHeight="1" x14ac:dyDescent="0.25">
      <c r="B92" s="30">
        <v>1</v>
      </c>
      <c r="C92" s="34" t="s">
        <v>81</v>
      </c>
      <c r="D92" s="30"/>
      <c r="E92" s="30"/>
      <c r="F92" s="27">
        <f t="shared" si="30"/>
        <v>0</v>
      </c>
      <c r="G92" s="28" t="e">
        <f t="shared" ref="G92:G103" si="33">(F92/D92)</f>
        <v>#DIV/0!</v>
      </c>
    </row>
    <row r="93" spans="1:35" ht="27.95" customHeight="1" x14ac:dyDescent="0.25">
      <c r="B93" s="30">
        <f>B92+1</f>
        <v>2</v>
      </c>
      <c r="C93" s="34" t="s">
        <v>73</v>
      </c>
      <c r="D93" s="30"/>
      <c r="E93" s="30"/>
      <c r="F93" s="27">
        <f t="shared" si="30"/>
        <v>0</v>
      </c>
      <c r="G93" s="28" t="e">
        <f t="shared" si="33"/>
        <v>#DIV/0!</v>
      </c>
    </row>
    <row r="94" spans="1:35" ht="27.95" customHeight="1" x14ac:dyDescent="0.25">
      <c r="B94" s="30">
        <f t="shared" ref="B94:B103" si="34">B93+1</f>
        <v>3</v>
      </c>
      <c r="C94" s="34" t="s">
        <v>74</v>
      </c>
      <c r="D94" s="30"/>
      <c r="E94" s="30"/>
      <c r="F94" s="27">
        <f t="shared" si="30"/>
        <v>0</v>
      </c>
      <c r="G94" s="28" t="e">
        <f t="shared" si="33"/>
        <v>#DIV/0!</v>
      </c>
    </row>
    <row r="95" spans="1:35" ht="27.95" customHeight="1" x14ac:dyDescent="0.25">
      <c r="B95" s="30">
        <f t="shared" si="34"/>
        <v>4</v>
      </c>
      <c r="C95" s="34" t="s">
        <v>75</v>
      </c>
      <c r="D95" s="30"/>
      <c r="E95" s="30"/>
      <c r="F95" s="27">
        <f t="shared" si="30"/>
        <v>0</v>
      </c>
      <c r="G95" s="28" t="e">
        <f t="shared" si="33"/>
        <v>#DIV/0!</v>
      </c>
    </row>
    <row r="96" spans="1:35" ht="27.95" customHeight="1" x14ac:dyDescent="0.25">
      <c r="B96" s="30">
        <f t="shared" si="34"/>
        <v>5</v>
      </c>
      <c r="C96" s="34" t="s">
        <v>76</v>
      </c>
      <c r="D96" s="30"/>
      <c r="E96" s="30"/>
      <c r="F96" s="27">
        <f t="shared" ref="F96:F101" si="35">E96-D96</f>
        <v>0</v>
      </c>
      <c r="G96" s="28" t="e">
        <f t="shared" si="33"/>
        <v>#DIV/0!</v>
      </c>
    </row>
    <row r="97" spans="1:35" ht="27.95" customHeight="1" x14ac:dyDescent="0.25">
      <c r="B97" s="30">
        <f t="shared" si="34"/>
        <v>6</v>
      </c>
      <c r="C97" s="34" t="s">
        <v>172</v>
      </c>
      <c r="D97" s="30"/>
      <c r="E97" s="30"/>
      <c r="F97" s="27">
        <f t="shared" si="35"/>
        <v>0</v>
      </c>
      <c r="G97" s="28" t="e">
        <f t="shared" si="33"/>
        <v>#DIV/0!</v>
      </c>
    </row>
    <row r="98" spans="1:35" ht="27.95" customHeight="1" x14ac:dyDescent="0.25">
      <c r="B98" s="30">
        <f t="shared" si="34"/>
        <v>7</v>
      </c>
      <c r="C98" s="34" t="s">
        <v>173</v>
      </c>
      <c r="D98" s="30"/>
      <c r="E98" s="30"/>
      <c r="F98" s="27">
        <f t="shared" si="35"/>
        <v>0</v>
      </c>
      <c r="G98" s="28" t="e">
        <f t="shared" si="33"/>
        <v>#DIV/0!</v>
      </c>
    </row>
    <row r="99" spans="1:35" s="11" customFormat="1" ht="27.95" customHeight="1" x14ac:dyDescent="0.25">
      <c r="A99" s="15"/>
      <c r="B99" s="30">
        <f t="shared" si="34"/>
        <v>8</v>
      </c>
      <c r="C99" s="34" t="s">
        <v>77</v>
      </c>
      <c r="D99" s="30"/>
      <c r="E99" s="30"/>
      <c r="F99" s="27">
        <f t="shared" si="35"/>
        <v>0</v>
      </c>
      <c r="G99" s="28" t="e">
        <f t="shared" si="33"/>
        <v>#DIV/0!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</row>
    <row r="100" spans="1:35" s="11" customFormat="1" ht="27.95" customHeight="1" x14ac:dyDescent="0.25">
      <c r="A100" s="15"/>
      <c r="B100" s="30">
        <f t="shared" si="34"/>
        <v>9</v>
      </c>
      <c r="C100" s="34" t="s">
        <v>78</v>
      </c>
      <c r="D100" s="30"/>
      <c r="E100" s="30"/>
      <c r="F100" s="27">
        <f t="shared" si="35"/>
        <v>0</v>
      </c>
      <c r="G100" s="28" t="e">
        <f t="shared" si="33"/>
        <v>#DIV/0!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 spans="1:35" ht="27.95" customHeight="1" x14ac:dyDescent="0.25">
      <c r="B101" s="30">
        <f t="shared" si="34"/>
        <v>10</v>
      </c>
      <c r="C101" s="34" t="s">
        <v>79</v>
      </c>
      <c r="D101" s="30"/>
      <c r="E101" s="30"/>
      <c r="F101" s="27">
        <f t="shared" si="35"/>
        <v>0</v>
      </c>
      <c r="G101" s="28" t="e">
        <f t="shared" si="33"/>
        <v>#DIV/0!</v>
      </c>
    </row>
    <row r="102" spans="1:35" ht="27.95" customHeight="1" x14ac:dyDescent="0.25">
      <c r="B102" s="30">
        <f t="shared" si="34"/>
        <v>11</v>
      </c>
      <c r="C102" s="34" t="s">
        <v>80</v>
      </c>
      <c r="D102" s="30"/>
      <c r="E102" s="30"/>
      <c r="F102" s="27">
        <f t="shared" ref="F102:F125" si="36">E102-D102</f>
        <v>0</v>
      </c>
      <c r="G102" s="28" t="e">
        <f t="shared" si="33"/>
        <v>#DIV/0!</v>
      </c>
    </row>
    <row r="103" spans="1:35" ht="27.95" customHeight="1" x14ac:dyDescent="0.25">
      <c r="B103" s="30">
        <f t="shared" si="34"/>
        <v>12</v>
      </c>
      <c r="C103" s="34" t="s">
        <v>82</v>
      </c>
      <c r="D103" s="30"/>
      <c r="E103" s="30"/>
      <c r="F103" s="27">
        <f t="shared" si="36"/>
        <v>0</v>
      </c>
      <c r="G103" s="28" t="e">
        <f t="shared" si="33"/>
        <v>#DIV/0!</v>
      </c>
    </row>
    <row r="104" spans="1:35" ht="27.95" customHeight="1" x14ac:dyDescent="0.25">
      <c r="B104" s="53" t="s">
        <v>0</v>
      </c>
      <c r="C104" s="54"/>
      <c r="D104" s="54"/>
      <c r="E104" s="54"/>
      <c r="F104" s="54"/>
      <c r="G104" s="55"/>
    </row>
    <row r="105" spans="1:35" ht="42" customHeight="1" x14ac:dyDescent="0.25">
      <c r="B105" s="52" t="s">
        <v>141</v>
      </c>
      <c r="C105" s="50"/>
      <c r="D105" s="50"/>
      <c r="E105" s="50"/>
      <c r="F105" s="50"/>
      <c r="G105" s="51"/>
    </row>
    <row r="106" spans="1:35" ht="27.95" customHeight="1" x14ac:dyDescent="0.25">
      <c r="B106" s="36"/>
      <c r="C106" s="22" t="s">
        <v>6</v>
      </c>
      <c r="D106" s="23" t="s">
        <v>5</v>
      </c>
      <c r="E106" s="23" t="s">
        <v>7</v>
      </c>
      <c r="F106" s="23" t="s">
        <v>1</v>
      </c>
      <c r="G106" s="23" t="s">
        <v>2</v>
      </c>
    </row>
    <row r="107" spans="1:35" s="17" customFormat="1" ht="27.95" customHeight="1" x14ac:dyDescent="0.25">
      <c r="A107" s="16"/>
      <c r="B107" s="37" t="s">
        <v>132</v>
      </c>
      <c r="C107" s="38" t="s">
        <v>3</v>
      </c>
      <c r="D107" s="41"/>
      <c r="E107" s="41"/>
      <c r="F107" s="32">
        <f t="shared" ref="F107" si="37">E107-D107</f>
        <v>0</v>
      </c>
      <c r="G107" s="33" t="e">
        <f t="shared" ref="G107" si="38">(F107/D107)</f>
        <v>#DIV/0!</v>
      </c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</row>
    <row r="108" spans="1:35" ht="27.95" customHeight="1" x14ac:dyDescent="0.25">
      <c r="B108" s="30">
        <v>1</v>
      </c>
      <c r="C108" s="34" t="s">
        <v>83</v>
      </c>
      <c r="D108" s="30"/>
      <c r="E108" s="30"/>
      <c r="F108" s="27">
        <f t="shared" si="36"/>
        <v>0</v>
      </c>
      <c r="G108" s="28" t="e">
        <f t="shared" ref="G108:G115" si="39">(F108/D108)</f>
        <v>#DIV/0!</v>
      </c>
    </row>
    <row r="109" spans="1:35" ht="27.95" customHeight="1" x14ac:dyDescent="0.25">
      <c r="B109" s="30">
        <f>B108+1</f>
        <v>2</v>
      </c>
      <c r="C109" s="34" t="s">
        <v>84</v>
      </c>
      <c r="D109" s="30"/>
      <c r="E109" s="30"/>
      <c r="F109" s="27">
        <f t="shared" si="36"/>
        <v>0</v>
      </c>
      <c r="G109" s="28" t="e">
        <f t="shared" si="39"/>
        <v>#DIV/0!</v>
      </c>
    </row>
    <row r="110" spans="1:35" ht="27.95" customHeight="1" x14ac:dyDescent="0.25">
      <c r="B110" s="30">
        <f t="shared" ref="B110:B115" si="40">B109+1</f>
        <v>3</v>
      </c>
      <c r="C110" s="34" t="s">
        <v>85</v>
      </c>
      <c r="D110" s="30"/>
      <c r="E110" s="30"/>
      <c r="F110" s="27">
        <f t="shared" si="36"/>
        <v>0</v>
      </c>
      <c r="G110" s="28" t="e">
        <f t="shared" si="39"/>
        <v>#DIV/0!</v>
      </c>
    </row>
    <row r="111" spans="1:35" ht="27.95" customHeight="1" x14ac:dyDescent="0.25">
      <c r="B111" s="30">
        <f t="shared" si="40"/>
        <v>4</v>
      </c>
      <c r="C111" s="34" t="s">
        <v>86</v>
      </c>
      <c r="D111" s="30"/>
      <c r="E111" s="30"/>
      <c r="F111" s="27">
        <f t="shared" si="36"/>
        <v>0</v>
      </c>
      <c r="G111" s="28" t="e">
        <f t="shared" si="39"/>
        <v>#DIV/0!</v>
      </c>
    </row>
    <row r="112" spans="1:35" ht="27.95" customHeight="1" x14ac:dyDescent="0.25">
      <c r="B112" s="30">
        <f t="shared" si="40"/>
        <v>5</v>
      </c>
      <c r="C112" s="34" t="s">
        <v>87</v>
      </c>
      <c r="D112" s="30"/>
      <c r="E112" s="30"/>
      <c r="F112" s="27">
        <f t="shared" si="36"/>
        <v>0</v>
      </c>
      <c r="G112" s="28" t="e">
        <f t="shared" si="39"/>
        <v>#DIV/0!</v>
      </c>
    </row>
    <row r="113" spans="1:35" ht="27.95" customHeight="1" x14ac:dyDescent="0.25">
      <c r="B113" s="30">
        <f t="shared" si="40"/>
        <v>6</v>
      </c>
      <c r="C113" s="34" t="s">
        <v>88</v>
      </c>
      <c r="D113" s="30"/>
      <c r="E113" s="30"/>
      <c r="F113" s="27">
        <f t="shared" si="36"/>
        <v>0</v>
      </c>
      <c r="G113" s="28" t="e">
        <f t="shared" si="39"/>
        <v>#DIV/0!</v>
      </c>
    </row>
    <row r="114" spans="1:35" ht="27.95" customHeight="1" x14ac:dyDescent="0.25">
      <c r="B114" s="30">
        <f t="shared" si="40"/>
        <v>7</v>
      </c>
      <c r="C114" s="34" t="s">
        <v>89</v>
      </c>
      <c r="D114" s="30"/>
      <c r="E114" s="30"/>
      <c r="F114" s="27">
        <f t="shared" si="36"/>
        <v>0</v>
      </c>
      <c r="G114" s="28" t="e">
        <f t="shared" si="39"/>
        <v>#DIV/0!</v>
      </c>
    </row>
    <row r="115" spans="1:35" ht="27.95" customHeight="1" x14ac:dyDescent="0.25">
      <c r="B115" s="30">
        <f t="shared" si="40"/>
        <v>8</v>
      </c>
      <c r="C115" s="34" t="s">
        <v>90</v>
      </c>
      <c r="D115" s="30"/>
      <c r="E115" s="30"/>
      <c r="F115" s="27">
        <f t="shared" si="36"/>
        <v>0</v>
      </c>
      <c r="G115" s="28" t="e">
        <f t="shared" si="39"/>
        <v>#DIV/0!</v>
      </c>
    </row>
    <row r="116" spans="1:35" ht="27.95" customHeight="1" x14ac:dyDescent="0.25">
      <c r="B116" s="53" t="s">
        <v>0</v>
      </c>
      <c r="C116" s="54"/>
      <c r="D116" s="54"/>
      <c r="E116" s="54"/>
      <c r="F116" s="54"/>
      <c r="G116" s="55"/>
    </row>
    <row r="117" spans="1:35" ht="45" customHeight="1" x14ac:dyDescent="0.25">
      <c r="B117" s="52" t="s">
        <v>142</v>
      </c>
      <c r="C117" s="50"/>
      <c r="D117" s="50"/>
      <c r="E117" s="50"/>
      <c r="F117" s="50"/>
      <c r="G117" s="51"/>
    </row>
    <row r="118" spans="1:35" ht="27.95" customHeight="1" x14ac:dyDescent="0.25">
      <c r="B118" s="36"/>
      <c r="C118" s="22" t="s">
        <v>6</v>
      </c>
      <c r="D118" s="23" t="s">
        <v>5</v>
      </c>
      <c r="E118" s="23" t="s">
        <v>7</v>
      </c>
      <c r="F118" s="23" t="s">
        <v>1</v>
      </c>
      <c r="G118" s="23" t="s">
        <v>2</v>
      </c>
    </row>
    <row r="119" spans="1:35" s="17" customFormat="1" ht="27.95" customHeight="1" x14ac:dyDescent="0.25">
      <c r="A119" s="16"/>
      <c r="B119" s="37" t="s">
        <v>132</v>
      </c>
      <c r="C119" s="38" t="s">
        <v>3</v>
      </c>
      <c r="D119" s="41"/>
      <c r="E119" s="41"/>
      <c r="F119" s="32">
        <f t="shared" ref="F119" si="41">E119-D119</f>
        <v>0</v>
      </c>
      <c r="G119" s="33" t="e">
        <f t="shared" ref="G119" si="42">(F119/D119)</f>
        <v>#DIV/0!</v>
      </c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</row>
    <row r="120" spans="1:35" ht="27.95" customHeight="1" x14ac:dyDescent="0.25">
      <c r="B120" s="30">
        <v>1</v>
      </c>
      <c r="C120" s="46" t="s">
        <v>20</v>
      </c>
      <c r="D120" s="30"/>
      <c r="E120" s="30"/>
      <c r="F120" s="27">
        <f t="shared" si="36"/>
        <v>0</v>
      </c>
      <c r="G120" s="28" t="e">
        <f t="shared" ref="G120:G125" si="43">(F120/D120)</f>
        <v>#DIV/0!</v>
      </c>
    </row>
    <row r="121" spans="1:35" ht="27.95" customHeight="1" x14ac:dyDescent="0.25">
      <c r="B121" s="30">
        <f>B120+1</f>
        <v>2</v>
      </c>
      <c r="C121" s="46" t="s">
        <v>25</v>
      </c>
      <c r="D121" s="30"/>
      <c r="E121" s="30"/>
      <c r="F121" s="27">
        <f t="shared" si="36"/>
        <v>0</v>
      </c>
      <c r="G121" s="28" t="e">
        <f t="shared" si="43"/>
        <v>#DIV/0!</v>
      </c>
    </row>
    <row r="122" spans="1:35" ht="27.95" customHeight="1" x14ac:dyDescent="0.25">
      <c r="B122" s="30">
        <f t="shared" ref="B122:B126" si="44">B121+1</f>
        <v>3</v>
      </c>
      <c r="C122" s="46" t="s">
        <v>91</v>
      </c>
      <c r="D122" s="30"/>
      <c r="E122" s="30"/>
      <c r="F122" s="27">
        <f t="shared" si="36"/>
        <v>0</v>
      </c>
      <c r="G122" s="28" t="e">
        <f t="shared" si="43"/>
        <v>#DIV/0!</v>
      </c>
    </row>
    <row r="123" spans="1:35" ht="27.95" customHeight="1" x14ac:dyDescent="0.25">
      <c r="B123" s="30">
        <f t="shared" si="44"/>
        <v>4</v>
      </c>
      <c r="C123" s="46" t="s">
        <v>171</v>
      </c>
      <c r="D123" s="30"/>
      <c r="E123" s="30"/>
      <c r="F123" s="27">
        <f t="shared" si="36"/>
        <v>0</v>
      </c>
      <c r="G123" s="28" t="e">
        <f t="shared" si="43"/>
        <v>#DIV/0!</v>
      </c>
    </row>
    <row r="124" spans="1:35" ht="27.95" customHeight="1" x14ac:dyDescent="0.25">
      <c r="B124" s="30">
        <f t="shared" si="44"/>
        <v>5</v>
      </c>
      <c r="C124" s="46" t="s">
        <v>93</v>
      </c>
      <c r="D124" s="30"/>
      <c r="E124" s="30"/>
      <c r="F124" s="27">
        <f t="shared" si="36"/>
        <v>0</v>
      </c>
      <c r="G124" s="28" t="e">
        <f t="shared" si="43"/>
        <v>#DIV/0!</v>
      </c>
    </row>
    <row r="125" spans="1:35" s="17" customFormat="1" ht="27.95" customHeight="1" x14ac:dyDescent="0.25">
      <c r="A125" s="16"/>
      <c r="B125" s="30">
        <f t="shared" si="44"/>
        <v>6</v>
      </c>
      <c r="C125" s="46" t="s">
        <v>170</v>
      </c>
      <c r="D125" s="30"/>
      <c r="E125" s="30"/>
      <c r="F125" s="27">
        <f t="shared" si="36"/>
        <v>0</v>
      </c>
      <c r="G125" s="28" t="e">
        <f t="shared" si="43"/>
        <v>#DIV/0!</v>
      </c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</row>
    <row r="126" spans="1:35" s="17" customFormat="1" ht="27.95" customHeight="1" x14ac:dyDescent="0.25">
      <c r="A126" s="16"/>
      <c r="B126" s="30">
        <f t="shared" si="44"/>
        <v>7</v>
      </c>
      <c r="C126" s="46" t="s">
        <v>95</v>
      </c>
      <c r="D126" s="30"/>
      <c r="E126" s="30"/>
      <c r="F126" s="27">
        <f t="shared" ref="F126" si="45">E126-D126</f>
        <v>0</v>
      </c>
      <c r="G126" s="28" t="e">
        <f t="shared" ref="G126" si="46">(F126/D126)</f>
        <v>#DIV/0!</v>
      </c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</row>
    <row r="127" spans="1:35" ht="27.95" customHeight="1" x14ac:dyDescent="0.25">
      <c r="B127" s="53" t="s">
        <v>0</v>
      </c>
      <c r="C127" s="54"/>
      <c r="D127" s="54"/>
      <c r="E127" s="54"/>
      <c r="F127" s="54"/>
      <c r="G127" s="55"/>
    </row>
    <row r="128" spans="1:35" ht="45" customHeight="1" x14ac:dyDescent="0.25">
      <c r="B128" s="52" t="s">
        <v>143</v>
      </c>
      <c r="C128" s="50"/>
      <c r="D128" s="50"/>
      <c r="E128" s="50"/>
      <c r="F128" s="50"/>
      <c r="G128" s="51"/>
    </row>
    <row r="129" spans="1:35" ht="27.95" customHeight="1" x14ac:dyDescent="0.25">
      <c r="B129" s="36"/>
      <c r="C129" s="22" t="s">
        <v>6</v>
      </c>
      <c r="D129" s="23" t="s">
        <v>5</v>
      </c>
      <c r="E129" s="23" t="s">
        <v>7</v>
      </c>
      <c r="F129" s="23" t="s">
        <v>1</v>
      </c>
      <c r="G129" s="23" t="s">
        <v>2</v>
      </c>
    </row>
    <row r="130" spans="1:35" s="17" customFormat="1" ht="27.95" customHeight="1" x14ac:dyDescent="0.25">
      <c r="A130" s="16"/>
      <c r="B130" s="37" t="s">
        <v>132</v>
      </c>
      <c r="C130" s="38" t="s">
        <v>3</v>
      </c>
      <c r="D130" s="41"/>
      <c r="E130" s="41"/>
      <c r="F130" s="32">
        <f t="shared" ref="F130" si="47">E130-D130</f>
        <v>0</v>
      </c>
      <c r="G130" s="33" t="e">
        <f t="shared" ref="G130" si="48">(F130/D130)</f>
        <v>#DIV/0!</v>
      </c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</row>
    <row r="131" spans="1:35" ht="27.95" customHeight="1" x14ac:dyDescent="0.25">
      <c r="B131" s="30">
        <v>1</v>
      </c>
      <c r="C131" s="46" t="s">
        <v>96</v>
      </c>
      <c r="D131" s="30"/>
      <c r="E131" s="30"/>
      <c r="F131" s="27">
        <f t="shared" ref="F131:F149" si="49">E131-D131</f>
        <v>0</v>
      </c>
      <c r="G131" s="28" t="e">
        <f t="shared" ref="G131:G173" si="50">(F131/D131)</f>
        <v>#DIV/0!</v>
      </c>
    </row>
    <row r="132" spans="1:35" ht="27.95" customHeight="1" x14ac:dyDescent="0.25">
      <c r="B132" s="30">
        <f>B131+1</f>
        <v>2</v>
      </c>
      <c r="C132" s="46" t="s">
        <v>97</v>
      </c>
      <c r="D132" s="30"/>
      <c r="E132" s="30"/>
      <c r="F132" s="27">
        <f t="shared" si="49"/>
        <v>0</v>
      </c>
      <c r="G132" s="28" t="e">
        <f t="shared" si="50"/>
        <v>#DIV/0!</v>
      </c>
    </row>
    <row r="133" spans="1:35" ht="27.95" customHeight="1" x14ac:dyDescent="0.25">
      <c r="B133" s="30">
        <f t="shared" ref="B133:B173" si="51">B132+1</f>
        <v>3</v>
      </c>
      <c r="C133" s="46" t="s">
        <v>98</v>
      </c>
      <c r="D133" s="30"/>
      <c r="E133" s="30"/>
      <c r="F133" s="27">
        <f t="shared" si="49"/>
        <v>0</v>
      </c>
      <c r="G133" s="28" t="e">
        <f t="shared" si="50"/>
        <v>#DIV/0!</v>
      </c>
    </row>
    <row r="134" spans="1:35" ht="27.95" customHeight="1" x14ac:dyDescent="0.25">
      <c r="B134" s="30">
        <f t="shared" si="51"/>
        <v>4</v>
      </c>
      <c r="C134" s="46" t="s">
        <v>99</v>
      </c>
      <c r="D134" s="30"/>
      <c r="E134" s="30"/>
      <c r="F134" s="27">
        <f t="shared" si="49"/>
        <v>0</v>
      </c>
      <c r="G134" s="28" t="e">
        <f t="shared" si="50"/>
        <v>#DIV/0!</v>
      </c>
    </row>
    <row r="135" spans="1:35" ht="27.95" customHeight="1" x14ac:dyDescent="0.25">
      <c r="B135" s="30">
        <f t="shared" si="51"/>
        <v>5</v>
      </c>
      <c r="C135" s="46" t="s">
        <v>100</v>
      </c>
      <c r="D135" s="30"/>
      <c r="E135" s="30"/>
      <c r="F135" s="27">
        <f t="shared" si="49"/>
        <v>0</v>
      </c>
      <c r="G135" s="28" t="e">
        <f t="shared" si="50"/>
        <v>#DIV/0!</v>
      </c>
    </row>
    <row r="136" spans="1:35" ht="27.95" customHeight="1" x14ac:dyDescent="0.25">
      <c r="B136" s="30">
        <f t="shared" si="51"/>
        <v>6</v>
      </c>
      <c r="C136" s="46" t="s">
        <v>101</v>
      </c>
      <c r="D136" s="30"/>
      <c r="E136" s="30"/>
      <c r="F136" s="27">
        <f t="shared" si="49"/>
        <v>0</v>
      </c>
      <c r="G136" s="28" t="e">
        <f t="shared" si="50"/>
        <v>#DIV/0!</v>
      </c>
    </row>
    <row r="137" spans="1:35" ht="27.95" customHeight="1" x14ac:dyDescent="0.25">
      <c r="B137" s="30">
        <f t="shared" si="51"/>
        <v>7</v>
      </c>
      <c r="C137" s="46" t="s">
        <v>102</v>
      </c>
      <c r="D137" s="30"/>
      <c r="E137" s="30"/>
      <c r="F137" s="27">
        <f t="shared" si="49"/>
        <v>0</v>
      </c>
      <c r="G137" s="28" t="e">
        <f t="shared" si="50"/>
        <v>#DIV/0!</v>
      </c>
    </row>
    <row r="138" spans="1:35" ht="27.95" customHeight="1" x14ac:dyDescent="0.25">
      <c r="B138" s="30">
        <f t="shared" si="51"/>
        <v>8</v>
      </c>
      <c r="C138" s="46" t="s">
        <v>103</v>
      </c>
      <c r="D138" s="30"/>
      <c r="E138" s="30"/>
      <c r="F138" s="27">
        <f t="shared" si="49"/>
        <v>0</v>
      </c>
      <c r="G138" s="28" t="e">
        <f t="shared" si="50"/>
        <v>#DIV/0!</v>
      </c>
    </row>
    <row r="139" spans="1:35" ht="27.95" customHeight="1" x14ac:dyDescent="0.25">
      <c r="B139" s="30">
        <f t="shared" si="51"/>
        <v>9</v>
      </c>
      <c r="C139" s="46" t="s">
        <v>104</v>
      </c>
      <c r="D139" s="30"/>
      <c r="E139" s="30"/>
      <c r="F139" s="27">
        <f t="shared" si="49"/>
        <v>0</v>
      </c>
      <c r="G139" s="28" t="e">
        <f t="shared" si="50"/>
        <v>#DIV/0!</v>
      </c>
    </row>
    <row r="140" spans="1:35" ht="27.95" customHeight="1" x14ac:dyDescent="0.25">
      <c r="B140" s="30">
        <f t="shared" si="51"/>
        <v>10</v>
      </c>
      <c r="C140" s="46" t="s">
        <v>105</v>
      </c>
      <c r="D140" s="30"/>
      <c r="E140" s="30"/>
      <c r="F140" s="27">
        <f t="shared" si="49"/>
        <v>0</v>
      </c>
      <c r="G140" s="28" t="e">
        <f t="shared" si="50"/>
        <v>#DIV/0!</v>
      </c>
    </row>
    <row r="141" spans="1:35" ht="27.95" customHeight="1" x14ac:dyDescent="0.25">
      <c r="B141" s="30">
        <f t="shared" si="51"/>
        <v>11</v>
      </c>
      <c r="C141" s="46" t="s">
        <v>106</v>
      </c>
      <c r="D141" s="30"/>
      <c r="E141" s="30"/>
      <c r="F141" s="27">
        <f t="shared" si="49"/>
        <v>0</v>
      </c>
      <c r="G141" s="28" t="e">
        <f t="shared" si="50"/>
        <v>#DIV/0!</v>
      </c>
    </row>
    <row r="142" spans="1:35" ht="27.95" customHeight="1" x14ac:dyDescent="0.25">
      <c r="B142" s="30">
        <f t="shared" si="51"/>
        <v>12</v>
      </c>
      <c r="C142" s="46" t="s">
        <v>107</v>
      </c>
      <c r="D142" s="30"/>
      <c r="E142" s="30"/>
      <c r="F142" s="27">
        <f t="shared" si="49"/>
        <v>0</v>
      </c>
      <c r="G142" s="28" t="e">
        <f t="shared" si="50"/>
        <v>#DIV/0!</v>
      </c>
    </row>
    <row r="143" spans="1:35" ht="27.95" customHeight="1" x14ac:dyDescent="0.25">
      <c r="B143" s="30">
        <f t="shared" si="51"/>
        <v>13</v>
      </c>
      <c r="C143" s="46" t="s">
        <v>108</v>
      </c>
      <c r="D143" s="30"/>
      <c r="E143" s="30"/>
      <c r="F143" s="27">
        <f t="shared" si="49"/>
        <v>0</v>
      </c>
      <c r="G143" s="28" t="e">
        <f t="shared" si="50"/>
        <v>#DIV/0!</v>
      </c>
    </row>
    <row r="144" spans="1:35" ht="27.95" customHeight="1" x14ac:dyDescent="0.25">
      <c r="B144" s="30">
        <f t="shared" si="51"/>
        <v>14</v>
      </c>
      <c r="C144" s="46" t="s">
        <v>109</v>
      </c>
      <c r="D144" s="30"/>
      <c r="E144" s="30"/>
      <c r="F144" s="27">
        <f t="shared" si="49"/>
        <v>0</v>
      </c>
      <c r="G144" s="28" t="e">
        <f t="shared" si="50"/>
        <v>#DIV/0!</v>
      </c>
    </row>
    <row r="145" spans="2:7" ht="27.95" customHeight="1" x14ac:dyDescent="0.25">
      <c r="B145" s="30">
        <f t="shared" si="51"/>
        <v>15</v>
      </c>
      <c r="C145" s="46" t="s">
        <v>110</v>
      </c>
      <c r="D145" s="30"/>
      <c r="E145" s="30"/>
      <c r="F145" s="27">
        <f t="shared" si="49"/>
        <v>0</v>
      </c>
      <c r="G145" s="28" t="e">
        <f t="shared" si="50"/>
        <v>#DIV/0!</v>
      </c>
    </row>
    <row r="146" spans="2:7" ht="27.95" customHeight="1" x14ac:dyDescent="0.25">
      <c r="B146" s="30">
        <f t="shared" si="51"/>
        <v>16</v>
      </c>
      <c r="C146" s="46" t="s">
        <v>111</v>
      </c>
      <c r="D146" s="30"/>
      <c r="E146" s="30"/>
      <c r="F146" s="27">
        <f t="shared" si="49"/>
        <v>0</v>
      </c>
      <c r="G146" s="28" t="e">
        <f t="shared" si="50"/>
        <v>#DIV/0!</v>
      </c>
    </row>
    <row r="147" spans="2:7" ht="27.95" customHeight="1" x14ac:dyDescent="0.25">
      <c r="B147" s="30">
        <f t="shared" si="51"/>
        <v>17</v>
      </c>
      <c r="C147" s="46" t="s">
        <v>112</v>
      </c>
      <c r="D147" s="30"/>
      <c r="E147" s="30"/>
      <c r="F147" s="27">
        <f t="shared" si="49"/>
        <v>0</v>
      </c>
      <c r="G147" s="28" t="e">
        <f t="shared" si="50"/>
        <v>#DIV/0!</v>
      </c>
    </row>
    <row r="148" spans="2:7" ht="27.95" customHeight="1" x14ac:dyDescent="0.25">
      <c r="B148" s="30">
        <f t="shared" si="51"/>
        <v>18</v>
      </c>
      <c r="C148" s="46" t="s">
        <v>13</v>
      </c>
      <c r="D148" s="30"/>
      <c r="E148" s="30"/>
      <c r="F148" s="27">
        <f t="shared" si="49"/>
        <v>0</v>
      </c>
      <c r="G148" s="28" t="e">
        <f t="shared" si="50"/>
        <v>#DIV/0!</v>
      </c>
    </row>
    <row r="149" spans="2:7" ht="27.95" customHeight="1" x14ac:dyDescent="0.25">
      <c r="B149" s="30">
        <f t="shared" si="51"/>
        <v>19</v>
      </c>
      <c r="C149" s="46" t="s">
        <v>113</v>
      </c>
      <c r="D149" s="30"/>
      <c r="E149" s="30"/>
      <c r="F149" s="27">
        <f t="shared" si="49"/>
        <v>0</v>
      </c>
      <c r="G149" s="28" t="e">
        <f t="shared" si="50"/>
        <v>#DIV/0!</v>
      </c>
    </row>
    <row r="150" spans="2:7" ht="27.95" customHeight="1" x14ac:dyDescent="0.25">
      <c r="B150" s="30">
        <f t="shared" si="51"/>
        <v>20</v>
      </c>
      <c r="C150" s="46" t="s">
        <v>14</v>
      </c>
      <c r="D150" s="30"/>
      <c r="E150" s="30"/>
      <c r="F150" s="27">
        <f t="shared" ref="F150:F173" si="52">E150-D150</f>
        <v>0</v>
      </c>
      <c r="G150" s="28" t="e">
        <f t="shared" si="50"/>
        <v>#DIV/0!</v>
      </c>
    </row>
    <row r="151" spans="2:7" ht="27.95" customHeight="1" x14ac:dyDescent="0.25">
      <c r="B151" s="30">
        <f t="shared" si="51"/>
        <v>21</v>
      </c>
      <c r="C151" s="46" t="s">
        <v>114</v>
      </c>
      <c r="D151" s="30"/>
      <c r="E151" s="30"/>
      <c r="F151" s="27">
        <f t="shared" si="52"/>
        <v>0</v>
      </c>
      <c r="G151" s="28" t="e">
        <f t="shared" si="50"/>
        <v>#DIV/0!</v>
      </c>
    </row>
    <row r="152" spans="2:7" ht="27.95" customHeight="1" x14ac:dyDescent="0.25">
      <c r="B152" s="30">
        <f t="shared" si="51"/>
        <v>22</v>
      </c>
      <c r="C152" s="46" t="s">
        <v>18</v>
      </c>
      <c r="D152" s="30"/>
      <c r="E152" s="30"/>
      <c r="F152" s="27">
        <f t="shared" si="52"/>
        <v>0</v>
      </c>
      <c r="G152" s="28" t="e">
        <f t="shared" si="50"/>
        <v>#DIV/0!</v>
      </c>
    </row>
    <row r="153" spans="2:7" ht="27.95" customHeight="1" x14ac:dyDescent="0.25">
      <c r="B153" s="30">
        <f t="shared" si="51"/>
        <v>23</v>
      </c>
      <c r="C153" s="46" t="s">
        <v>115</v>
      </c>
      <c r="D153" s="30"/>
      <c r="E153" s="30"/>
      <c r="F153" s="27">
        <f t="shared" si="52"/>
        <v>0</v>
      </c>
      <c r="G153" s="28" t="e">
        <f t="shared" si="50"/>
        <v>#DIV/0!</v>
      </c>
    </row>
    <row r="154" spans="2:7" ht="27.95" customHeight="1" x14ac:dyDescent="0.25">
      <c r="B154" s="30">
        <f t="shared" si="51"/>
        <v>24</v>
      </c>
      <c r="C154" s="46" t="s">
        <v>116</v>
      </c>
      <c r="D154" s="30"/>
      <c r="E154" s="30"/>
      <c r="F154" s="27">
        <f t="shared" si="52"/>
        <v>0</v>
      </c>
      <c r="G154" s="28" t="e">
        <f t="shared" si="50"/>
        <v>#DIV/0!</v>
      </c>
    </row>
    <row r="155" spans="2:7" ht="27.95" customHeight="1" x14ac:dyDescent="0.25">
      <c r="B155" s="30">
        <f t="shared" si="51"/>
        <v>25</v>
      </c>
      <c r="C155" s="46" t="s">
        <v>117</v>
      </c>
      <c r="D155" s="30"/>
      <c r="E155" s="30"/>
      <c r="F155" s="27">
        <f t="shared" si="52"/>
        <v>0</v>
      </c>
      <c r="G155" s="28" t="e">
        <f t="shared" si="50"/>
        <v>#DIV/0!</v>
      </c>
    </row>
    <row r="156" spans="2:7" ht="27.95" customHeight="1" x14ac:dyDescent="0.25">
      <c r="B156" s="30">
        <f t="shared" si="51"/>
        <v>26</v>
      </c>
      <c r="C156" s="46" t="s">
        <v>20</v>
      </c>
      <c r="D156" s="30"/>
      <c r="E156" s="30"/>
      <c r="F156" s="27">
        <f t="shared" si="52"/>
        <v>0</v>
      </c>
      <c r="G156" s="28" t="e">
        <f t="shared" si="50"/>
        <v>#DIV/0!</v>
      </c>
    </row>
    <row r="157" spans="2:7" ht="27.95" customHeight="1" x14ac:dyDescent="0.25">
      <c r="B157" s="30">
        <f t="shared" si="51"/>
        <v>27</v>
      </c>
      <c r="C157" s="46" t="s">
        <v>118</v>
      </c>
      <c r="D157" s="30"/>
      <c r="E157" s="30"/>
      <c r="F157" s="27">
        <f t="shared" si="52"/>
        <v>0</v>
      </c>
      <c r="G157" s="28" t="e">
        <f t="shared" si="50"/>
        <v>#DIV/0!</v>
      </c>
    </row>
    <row r="158" spans="2:7" ht="27.95" customHeight="1" x14ac:dyDescent="0.25">
      <c r="B158" s="30">
        <f t="shared" si="51"/>
        <v>28</v>
      </c>
      <c r="C158" s="46" t="s">
        <v>119</v>
      </c>
      <c r="D158" s="30"/>
      <c r="E158" s="30"/>
      <c r="F158" s="27">
        <f t="shared" si="52"/>
        <v>0</v>
      </c>
      <c r="G158" s="28" t="e">
        <f t="shared" si="50"/>
        <v>#DIV/0!</v>
      </c>
    </row>
    <row r="159" spans="2:7" ht="27.95" customHeight="1" x14ac:dyDescent="0.25">
      <c r="B159" s="30">
        <f t="shared" si="51"/>
        <v>29</v>
      </c>
      <c r="C159" s="46" t="s">
        <v>120</v>
      </c>
      <c r="D159" s="30"/>
      <c r="E159" s="30"/>
      <c r="F159" s="27">
        <f t="shared" si="52"/>
        <v>0</v>
      </c>
      <c r="G159" s="28" t="e">
        <f t="shared" si="50"/>
        <v>#DIV/0!</v>
      </c>
    </row>
    <row r="160" spans="2:7" ht="27.95" customHeight="1" x14ac:dyDescent="0.25">
      <c r="B160" s="30">
        <f t="shared" si="51"/>
        <v>30</v>
      </c>
      <c r="C160" s="46" t="s">
        <v>15</v>
      </c>
      <c r="D160" s="30"/>
      <c r="E160" s="30"/>
      <c r="F160" s="27">
        <f t="shared" si="52"/>
        <v>0</v>
      </c>
      <c r="G160" s="28" t="e">
        <f t="shared" si="50"/>
        <v>#DIV/0!</v>
      </c>
    </row>
    <row r="161" spans="1:35" ht="27.95" customHeight="1" x14ac:dyDescent="0.25">
      <c r="B161" s="30">
        <f t="shared" si="51"/>
        <v>31</v>
      </c>
      <c r="C161" s="46" t="s">
        <v>10</v>
      </c>
      <c r="D161" s="30"/>
      <c r="E161" s="30"/>
      <c r="F161" s="27">
        <f t="shared" si="52"/>
        <v>0</v>
      </c>
      <c r="G161" s="28" t="e">
        <f t="shared" si="50"/>
        <v>#DIV/0!</v>
      </c>
    </row>
    <row r="162" spans="1:35" ht="27.95" customHeight="1" x14ac:dyDescent="0.25">
      <c r="B162" s="30">
        <f t="shared" si="51"/>
        <v>32</v>
      </c>
      <c r="C162" s="46" t="s">
        <v>19</v>
      </c>
      <c r="D162" s="30"/>
      <c r="E162" s="30"/>
      <c r="F162" s="27">
        <f t="shared" si="52"/>
        <v>0</v>
      </c>
      <c r="G162" s="28" t="e">
        <f t="shared" si="50"/>
        <v>#DIV/0!</v>
      </c>
    </row>
    <row r="163" spans="1:35" ht="27.95" customHeight="1" x14ac:dyDescent="0.25">
      <c r="B163" s="30">
        <f t="shared" si="51"/>
        <v>33</v>
      </c>
      <c r="C163" s="46" t="s">
        <v>12</v>
      </c>
      <c r="D163" s="30"/>
      <c r="E163" s="30"/>
      <c r="F163" s="27">
        <f t="shared" si="52"/>
        <v>0</v>
      </c>
      <c r="G163" s="28" t="e">
        <f t="shared" si="50"/>
        <v>#DIV/0!</v>
      </c>
    </row>
    <row r="164" spans="1:35" ht="27.95" customHeight="1" x14ac:dyDescent="0.25">
      <c r="B164" s="30">
        <f t="shared" si="51"/>
        <v>34</v>
      </c>
      <c r="C164" s="46" t="s">
        <v>25</v>
      </c>
      <c r="D164" s="30"/>
      <c r="E164" s="30"/>
      <c r="F164" s="27">
        <f t="shared" si="52"/>
        <v>0</v>
      </c>
      <c r="G164" s="28" t="e">
        <f t="shared" si="50"/>
        <v>#DIV/0!</v>
      </c>
    </row>
    <row r="165" spans="1:35" ht="27.95" customHeight="1" x14ac:dyDescent="0.25">
      <c r="B165" s="30">
        <f t="shared" si="51"/>
        <v>35</v>
      </c>
      <c r="C165" s="46" t="s">
        <v>91</v>
      </c>
      <c r="D165" s="30"/>
      <c r="E165" s="30"/>
      <c r="F165" s="27">
        <f t="shared" si="52"/>
        <v>0</v>
      </c>
      <c r="G165" s="28" t="e">
        <f t="shared" si="50"/>
        <v>#DIV/0!</v>
      </c>
    </row>
    <row r="166" spans="1:35" ht="27.95" customHeight="1" x14ac:dyDescent="0.25">
      <c r="B166" s="30">
        <f t="shared" si="51"/>
        <v>36</v>
      </c>
      <c r="C166" s="46" t="s">
        <v>92</v>
      </c>
      <c r="D166" s="30"/>
      <c r="E166" s="30"/>
      <c r="F166" s="27">
        <f t="shared" si="52"/>
        <v>0</v>
      </c>
      <c r="G166" s="28" t="e">
        <f t="shared" si="50"/>
        <v>#DIV/0!</v>
      </c>
    </row>
    <row r="167" spans="1:35" ht="27.95" customHeight="1" x14ac:dyDescent="0.25">
      <c r="B167" s="30">
        <f t="shared" si="51"/>
        <v>37</v>
      </c>
      <c r="C167" s="46" t="s">
        <v>93</v>
      </c>
      <c r="D167" s="30"/>
      <c r="E167" s="30"/>
      <c r="F167" s="27">
        <f t="shared" si="52"/>
        <v>0</v>
      </c>
      <c r="G167" s="28" t="e">
        <f t="shared" si="50"/>
        <v>#DIV/0!</v>
      </c>
    </row>
    <row r="168" spans="1:35" ht="27.95" customHeight="1" x14ac:dyDescent="0.25">
      <c r="B168" s="30">
        <f t="shared" si="51"/>
        <v>38</v>
      </c>
      <c r="C168" s="46" t="s">
        <v>94</v>
      </c>
      <c r="D168" s="30"/>
      <c r="E168" s="30"/>
      <c r="F168" s="27">
        <f t="shared" si="52"/>
        <v>0</v>
      </c>
      <c r="G168" s="28" t="e">
        <f t="shared" si="50"/>
        <v>#DIV/0!</v>
      </c>
    </row>
    <row r="169" spans="1:35" ht="27.95" customHeight="1" x14ac:dyDescent="0.25">
      <c r="B169" s="30">
        <f t="shared" si="51"/>
        <v>39</v>
      </c>
      <c r="C169" s="46" t="s">
        <v>121</v>
      </c>
      <c r="D169" s="30"/>
      <c r="E169" s="30"/>
      <c r="F169" s="27">
        <f t="shared" si="52"/>
        <v>0</v>
      </c>
      <c r="G169" s="28" t="e">
        <f t="shared" si="50"/>
        <v>#DIV/0!</v>
      </c>
    </row>
    <row r="170" spans="1:35" ht="27.95" customHeight="1" x14ac:dyDescent="0.25">
      <c r="B170" s="30">
        <f t="shared" si="51"/>
        <v>40</v>
      </c>
      <c r="C170" s="46" t="s">
        <v>122</v>
      </c>
      <c r="D170" s="30"/>
      <c r="E170" s="30"/>
      <c r="F170" s="27">
        <f t="shared" si="52"/>
        <v>0</v>
      </c>
      <c r="G170" s="28" t="e">
        <f t="shared" si="50"/>
        <v>#DIV/0!</v>
      </c>
    </row>
    <row r="171" spans="1:35" ht="27.95" customHeight="1" x14ac:dyDescent="0.25">
      <c r="B171" s="30">
        <f t="shared" si="51"/>
        <v>41</v>
      </c>
      <c r="C171" s="46" t="s">
        <v>123</v>
      </c>
      <c r="D171" s="30"/>
      <c r="E171" s="30"/>
      <c r="F171" s="27">
        <f t="shared" si="52"/>
        <v>0</v>
      </c>
      <c r="G171" s="28" t="e">
        <f t="shared" si="50"/>
        <v>#DIV/0!</v>
      </c>
    </row>
    <row r="172" spans="1:35" s="17" customFormat="1" ht="27.95" customHeight="1" x14ac:dyDescent="0.25">
      <c r="A172" s="16"/>
      <c r="B172" s="30">
        <f t="shared" si="51"/>
        <v>42</v>
      </c>
      <c r="C172" s="46" t="s">
        <v>124</v>
      </c>
      <c r="D172" s="30"/>
      <c r="E172" s="30"/>
      <c r="F172" s="27">
        <f t="shared" si="52"/>
        <v>0</v>
      </c>
      <c r="G172" s="28" t="e">
        <f t="shared" si="50"/>
        <v>#DIV/0!</v>
      </c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</row>
    <row r="173" spans="1:35" ht="27.95" customHeight="1" x14ac:dyDescent="0.25">
      <c r="B173" s="30">
        <f t="shared" si="51"/>
        <v>43</v>
      </c>
      <c r="C173" s="46" t="s">
        <v>125</v>
      </c>
      <c r="D173" s="30"/>
      <c r="E173" s="30"/>
      <c r="F173" s="27">
        <f t="shared" si="52"/>
        <v>0</v>
      </c>
      <c r="G173" s="28" t="e">
        <f t="shared" si="50"/>
        <v>#DIV/0!</v>
      </c>
    </row>
    <row r="174" spans="1:35" ht="27.95" customHeight="1" x14ac:dyDescent="0.25">
      <c r="B174" s="53" t="s">
        <v>0</v>
      </c>
      <c r="C174" s="54"/>
      <c r="D174" s="54"/>
      <c r="E174" s="54"/>
      <c r="F174" s="54"/>
      <c r="G174" s="55"/>
    </row>
    <row r="175" spans="1:35" ht="42" customHeight="1" x14ac:dyDescent="0.25">
      <c r="B175" s="49" t="s">
        <v>174</v>
      </c>
      <c r="C175" s="62"/>
      <c r="D175" s="62"/>
      <c r="E175" s="62"/>
      <c r="F175" s="62"/>
      <c r="G175" s="63"/>
    </row>
    <row r="176" spans="1:35" ht="27.95" customHeight="1" x14ac:dyDescent="0.25">
      <c r="B176" s="36"/>
      <c r="C176" s="22" t="s">
        <v>6</v>
      </c>
      <c r="D176" s="23" t="s">
        <v>5</v>
      </c>
      <c r="E176" s="23" t="s">
        <v>7</v>
      </c>
      <c r="F176" s="23" t="s">
        <v>1</v>
      </c>
      <c r="G176" s="23" t="s">
        <v>2</v>
      </c>
    </row>
    <row r="177" spans="1:35" s="17" customFormat="1" ht="27.95" customHeight="1" x14ac:dyDescent="0.25">
      <c r="A177" s="16"/>
      <c r="B177" s="24" t="s">
        <v>132</v>
      </c>
      <c r="C177" s="43" t="s">
        <v>3</v>
      </c>
      <c r="D177" s="41"/>
      <c r="E177" s="41"/>
      <c r="F177" s="32">
        <f>E177-D177</f>
        <v>0</v>
      </c>
      <c r="G177" s="33" t="e">
        <f>(F177/D177)</f>
        <v>#DIV/0!</v>
      </c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</row>
    <row r="178" spans="1:35" ht="27.95" customHeight="1" x14ac:dyDescent="0.25">
      <c r="B178" s="30">
        <v>1</v>
      </c>
      <c r="C178" s="46" t="s">
        <v>122</v>
      </c>
      <c r="D178" s="30"/>
      <c r="E178" s="30"/>
      <c r="F178" s="27">
        <f>E178-D178</f>
        <v>0</v>
      </c>
      <c r="G178" s="28" t="e">
        <f>(F178/D178)</f>
        <v>#DIV/0!</v>
      </c>
    </row>
    <row r="179" spans="1:35" ht="27.95" customHeight="1" x14ac:dyDescent="0.25">
      <c r="B179" s="30">
        <v>2</v>
      </c>
      <c r="C179" s="46" t="s">
        <v>116</v>
      </c>
      <c r="D179" s="30"/>
      <c r="E179" s="30"/>
      <c r="F179" s="27">
        <f>E179-D179</f>
        <v>0</v>
      </c>
      <c r="G179" s="28" t="e">
        <f>(F179/D179)</f>
        <v>#DIV/0!</v>
      </c>
    </row>
    <row r="180" spans="1:35" ht="27.95" customHeight="1" x14ac:dyDescent="0.25">
      <c r="B180" s="30">
        <v>3</v>
      </c>
      <c r="C180" s="46" t="s">
        <v>120</v>
      </c>
      <c r="D180" s="30"/>
      <c r="E180" s="30"/>
      <c r="F180" s="27">
        <f>E180-D180</f>
        <v>0</v>
      </c>
      <c r="G180" s="28" t="e">
        <f>(F180/D180)</f>
        <v>#DIV/0!</v>
      </c>
    </row>
    <row r="181" spans="1:35" ht="27.95" customHeight="1" x14ac:dyDescent="0.25">
      <c r="B181" s="53" t="s">
        <v>0</v>
      </c>
      <c r="C181" s="54"/>
      <c r="D181" s="54"/>
      <c r="E181" s="54"/>
      <c r="F181" s="54"/>
      <c r="G181" s="55"/>
    </row>
    <row r="182" spans="1:35" ht="42" customHeight="1" x14ac:dyDescent="0.25">
      <c r="B182" s="57" t="s">
        <v>144</v>
      </c>
      <c r="C182" s="58"/>
      <c r="D182" s="58"/>
      <c r="E182" s="58"/>
      <c r="F182" s="58"/>
      <c r="G182" s="59"/>
    </row>
    <row r="183" spans="1:35" ht="27.95" customHeight="1" x14ac:dyDescent="0.25">
      <c r="B183" s="36"/>
      <c r="C183" s="22" t="s">
        <v>6</v>
      </c>
      <c r="D183" s="23" t="s">
        <v>5</v>
      </c>
      <c r="E183" s="23" t="s">
        <v>7</v>
      </c>
      <c r="F183" s="23" t="s">
        <v>1</v>
      </c>
      <c r="G183" s="23" t="s">
        <v>2</v>
      </c>
    </row>
    <row r="184" spans="1:35" s="17" customFormat="1" ht="27.95" customHeight="1" x14ac:dyDescent="0.25">
      <c r="A184" s="16"/>
      <c r="B184" s="37" t="s">
        <v>132</v>
      </c>
      <c r="C184" s="38" t="s">
        <v>3</v>
      </c>
      <c r="D184" s="41"/>
      <c r="E184" s="41"/>
      <c r="F184" s="32">
        <f t="shared" ref="F184" si="53">E184-D184</f>
        <v>0</v>
      </c>
      <c r="G184" s="33" t="e">
        <f t="shared" ref="G184" si="54">(F184/D184)</f>
        <v>#DIV/0!</v>
      </c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</row>
    <row r="185" spans="1:35" ht="27.95" customHeight="1" x14ac:dyDescent="0.25">
      <c r="B185" s="30">
        <v>1</v>
      </c>
      <c r="C185" s="34" t="s">
        <v>167</v>
      </c>
      <c r="D185" s="30"/>
      <c r="E185" s="30"/>
      <c r="F185" s="27">
        <f t="shared" ref="F185:F190" si="55">E185-D185</f>
        <v>0</v>
      </c>
      <c r="G185" s="28" t="e">
        <f t="shared" ref="G185:G205" si="56">(F185/D185)</f>
        <v>#DIV/0!</v>
      </c>
    </row>
    <row r="186" spans="1:35" ht="27.95" customHeight="1" x14ac:dyDescent="0.25">
      <c r="B186" s="30">
        <f>B185+1</f>
        <v>2</v>
      </c>
      <c r="C186" s="34" t="s">
        <v>145</v>
      </c>
      <c r="D186" s="30"/>
      <c r="E186" s="30"/>
      <c r="F186" s="27">
        <f t="shared" si="55"/>
        <v>0</v>
      </c>
      <c r="G186" s="28" t="e">
        <f t="shared" si="56"/>
        <v>#DIV/0!</v>
      </c>
    </row>
    <row r="187" spans="1:35" ht="27.95" customHeight="1" x14ac:dyDescent="0.25">
      <c r="B187" s="30">
        <f t="shared" ref="B187:B220" si="57">B186+1</f>
        <v>3</v>
      </c>
      <c r="C187" s="34" t="s">
        <v>153</v>
      </c>
      <c r="D187" s="30"/>
      <c r="E187" s="30"/>
      <c r="F187" s="27">
        <f t="shared" si="55"/>
        <v>0</v>
      </c>
      <c r="G187" s="28" t="e">
        <f t="shared" si="56"/>
        <v>#DIV/0!</v>
      </c>
    </row>
    <row r="188" spans="1:35" s="17" customFormat="1" ht="27.95" customHeight="1" x14ac:dyDescent="0.25">
      <c r="A188" s="16"/>
      <c r="B188" s="30">
        <f t="shared" si="57"/>
        <v>4</v>
      </c>
      <c r="C188" s="34" t="s">
        <v>146</v>
      </c>
      <c r="D188" s="30"/>
      <c r="E188" s="30"/>
      <c r="F188" s="27">
        <f t="shared" si="55"/>
        <v>0</v>
      </c>
      <c r="G188" s="28" t="e">
        <f t="shared" si="56"/>
        <v>#DIV/0!</v>
      </c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</row>
    <row r="189" spans="1:35" ht="27.95" customHeight="1" x14ac:dyDescent="0.25">
      <c r="B189" s="30">
        <f t="shared" si="57"/>
        <v>5</v>
      </c>
      <c r="C189" s="34" t="s">
        <v>154</v>
      </c>
      <c r="D189" s="30"/>
      <c r="E189" s="30"/>
      <c r="F189" s="27">
        <f t="shared" si="55"/>
        <v>0</v>
      </c>
      <c r="G189" s="28" t="e">
        <f t="shared" si="56"/>
        <v>#DIV/0!</v>
      </c>
    </row>
    <row r="190" spans="1:35" ht="27.95" customHeight="1" x14ac:dyDescent="0.25">
      <c r="B190" s="30">
        <f t="shared" si="57"/>
        <v>6</v>
      </c>
      <c r="C190" s="34" t="s">
        <v>155</v>
      </c>
      <c r="D190" s="30"/>
      <c r="E190" s="30"/>
      <c r="F190" s="27">
        <f t="shared" si="55"/>
        <v>0</v>
      </c>
      <c r="G190" s="28" t="e">
        <f t="shared" si="56"/>
        <v>#DIV/0!</v>
      </c>
    </row>
    <row r="191" spans="1:35" ht="27.95" customHeight="1" x14ac:dyDescent="0.25">
      <c r="B191" s="30">
        <f t="shared" si="57"/>
        <v>7</v>
      </c>
      <c r="C191" s="34" t="s">
        <v>156</v>
      </c>
      <c r="D191" s="30"/>
      <c r="E191" s="30"/>
      <c r="F191" s="27">
        <f t="shared" ref="F191:F197" si="58">E191-D191</f>
        <v>0</v>
      </c>
      <c r="G191" s="28" t="e">
        <f t="shared" si="56"/>
        <v>#DIV/0!</v>
      </c>
    </row>
    <row r="192" spans="1:35" ht="27.95" customHeight="1" x14ac:dyDescent="0.25">
      <c r="B192" s="30">
        <f t="shared" si="57"/>
        <v>8</v>
      </c>
      <c r="C192" s="34" t="s">
        <v>157</v>
      </c>
      <c r="D192" s="30"/>
      <c r="E192" s="30"/>
      <c r="F192" s="27">
        <f t="shared" si="58"/>
        <v>0</v>
      </c>
      <c r="G192" s="28" t="e">
        <f t="shared" si="56"/>
        <v>#DIV/0!</v>
      </c>
    </row>
    <row r="193" spans="2:7" ht="27.95" customHeight="1" x14ac:dyDescent="0.25">
      <c r="B193" s="30">
        <f t="shared" si="57"/>
        <v>9</v>
      </c>
      <c r="C193" s="34" t="s">
        <v>158</v>
      </c>
      <c r="D193" s="30"/>
      <c r="E193" s="30"/>
      <c r="F193" s="27">
        <f t="shared" si="58"/>
        <v>0</v>
      </c>
      <c r="G193" s="28" t="e">
        <f t="shared" si="56"/>
        <v>#DIV/0!</v>
      </c>
    </row>
    <row r="194" spans="2:7" ht="27.95" customHeight="1" x14ac:dyDescent="0.25">
      <c r="B194" s="30">
        <f t="shared" si="57"/>
        <v>10</v>
      </c>
      <c r="C194" s="35" t="s">
        <v>26</v>
      </c>
      <c r="D194" s="30"/>
      <c r="E194" s="30"/>
      <c r="F194" s="27">
        <f t="shared" si="58"/>
        <v>0</v>
      </c>
      <c r="G194" s="28" t="e">
        <f t="shared" si="56"/>
        <v>#DIV/0!</v>
      </c>
    </row>
    <row r="195" spans="2:7" ht="27.95" customHeight="1" x14ac:dyDescent="0.25">
      <c r="B195" s="30">
        <f t="shared" si="57"/>
        <v>11</v>
      </c>
      <c r="C195" s="39" t="s">
        <v>28</v>
      </c>
      <c r="D195" s="30"/>
      <c r="E195" s="30"/>
      <c r="F195" s="27">
        <f t="shared" ref="F195" si="59">E195-D195</f>
        <v>0</v>
      </c>
      <c r="G195" s="28" t="e">
        <f t="shared" si="56"/>
        <v>#DIV/0!</v>
      </c>
    </row>
    <row r="196" spans="2:7" ht="27.95" customHeight="1" x14ac:dyDescent="0.25">
      <c r="B196" s="30">
        <f t="shared" si="57"/>
        <v>12</v>
      </c>
      <c r="C196" s="40" t="s">
        <v>27</v>
      </c>
      <c r="D196" s="30"/>
      <c r="E196" s="30"/>
      <c r="F196" s="27">
        <f t="shared" si="58"/>
        <v>0</v>
      </c>
      <c r="G196" s="28" t="e">
        <f t="shared" si="56"/>
        <v>#DIV/0!</v>
      </c>
    </row>
    <row r="197" spans="2:7" ht="27.95" customHeight="1" x14ac:dyDescent="0.25">
      <c r="B197" s="30">
        <f t="shared" si="57"/>
        <v>13</v>
      </c>
      <c r="C197" s="34" t="s">
        <v>31</v>
      </c>
      <c r="D197" s="30"/>
      <c r="E197" s="30"/>
      <c r="F197" s="27">
        <f t="shared" si="58"/>
        <v>0</v>
      </c>
      <c r="G197" s="28" t="e">
        <f t="shared" si="56"/>
        <v>#DIV/0!</v>
      </c>
    </row>
    <row r="198" spans="2:7" ht="27.95" customHeight="1" x14ac:dyDescent="0.25">
      <c r="B198" s="30">
        <f t="shared" si="57"/>
        <v>14</v>
      </c>
      <c r="C198" s="34" t="s">
        <v>41</v>
      </c>
      <c r="D198" s="30"/>
      <c r="E198" s="30"/>
      <c r="F198" s="27">
        <f t="shared" ref="F198" si="60">E198-D198</f>
        <v>0</v>
      </c>
      <c r="G198" s="28" t="e">
        <f t="shared" si="56"/>
        <v>#DIV/0!</v>
      </c>
    </row>
    <row r="199" spans="2:7" ht="27.95" customHeight="1" x14ac:dyDescent="0.25">
      <c r="B199" s="30">
        <f t="shared" si="57"/>
        <v>15</v>
      </c>
      <c r="C199" s="34" t="s">
        <v>47</v>
      </c>
      <c r="D199" s="30"/>
      <c r="E199" s="30"/>
      <c r="F199" s="27">
        <f t="shared" ref="F199:F203" si="61">E199-D199</f>
        <v>0</v>
      </c>
      <c r="G199" s="28" t="e">
        <f t="shared" si="56"/>
        <v>#DIV/0!</v>
      </c>
    </row>
    <row r="200" spans="2:7" ht="27.95" customHeight="1" x14ac:dyDescent="0.25">
      <c r="B200" s="30">
        <f t="shared" si="57"/>
        <v>16</v>
      </c>
      <c r="C200" s="34" t="s">
        <v>159</v>
      </c>
      <c r="D200" s="30"/>
      <c r="E200" s="30"/>
      <c r="F200" s="27">
        <f t="shared" si="61"/>
        <v>0</v>
      </c>
      <c r="G200" s="28" t="e">
        <f t="shared" si="56"/>
        <v>#DIV/0!</v>
      </c>
    </row>
    <row r="201" spans="2:7" ht="27.95" customHeight="1" x14ac:dyDescent="0.25">
      <c r="B201" s="30">
        <f t="shared" si="57"/>
        <v>17</v>
      </c>
      <c r="C201" s="34" t="s">
        <v>51</v>
      </c>
      <c r="D201" s="30"/>
      <c r="E201" s="30"/>
      <c r="F201" s="27">
        <f t="shared" si="61"/>
        <v>0</v>
      </c>
      <c r="G201" s="28" t="e">
        <f t="shared" si="56"/>
        <v>#DIV/0!</v>
      </c>
    </row>
    <row r="202" spans="2:7" ht="27.95" customHeight="1" x14ac:dyDescent="0.25">
      <c r="B202" s="30">
        <f t="shared" si="57"/>
        <v>18</v>
      </c>
      <c r="C202" s="34" t="s">
        <v>54</v>
      </c>
      <c r="D202" s="30"/>
      <c r="E202" s="30"/>
      <c r="F202" s="27">
        <f t="shared" si="61"/>
        <v>0</v>
      </c>
      <c r="G202" s="28" t="e">
        <f t="shared" si="56"/>
        <v>#DIV/0!</v>
      </c>
    </row>
    <row r="203" spans="2:7" ht="27.95" customHeight="1" x14ac:dyDescent="0.25">
      <c r="B203" s="30">
        <f t="shared" si="57"/>
        <v>19</v>
      </c>
      <c r="C203" s="34" t="s">
        <v>160</v>
      </c>
      <c r="D203" s="30"/>
      <c r="E203" s="30"/>
      <c r="F203" s="27">
        <f t="shared" si="61"/>
        <v>0</v>
      </c>
      <c r="G203" s="28" t="e">
        <f t="shared" si="56"/>
        <v>#DIV/0!</v>
      </c>
    </row>
    <row r="204" spans="2:7" ht="27.95" customHeight="1" x14ac:dyDescent="0.25">
      <c r="B204" s="30">
        <f t="shared" si="57"/>
        <v>20</v>
      </c>
      <c r="C204" s="34" t="s">
        <v>152</v>
      </c>
      <c r="D204" s="30"/>
      <c r="E204" s="30"/>
      <c r="F204" s="27">
        <f t="shared" ref="F204:F207" si="62">E204-D204</f>
        <v>0</v>
      </c>
      <c r="G204" s="28" t="e">
        <f t="shared" si="56"/>
        <v>#DIV/0!</v>
      </c>
    </row>
    <row r="205" spans="2:7" ht="27.95" customHeight="1" x14ac:dyDescent="0.25">
      <c r="B205" s="30">
        <f t="shared" si="57"/>
        <v>21</v>
      </c>
      <c r="C205" s="34" t="s">
        <v>62</v>
      </c>
      <c r="D205" s="30"/>
      <c r="E205" s="30"/>
      <c r="F205" s="27">
        <f t="shared" si="62"/>
        <v>0</v>
      </c>
      <c r="G205" s="28" t="e">
        <f t="shared" si="56"/>
        <v>#DIV/0!</v>
      </c>
    </row>
    <row r="206" spans="2:7" ht="27.95" customHeight="1" x14ac:dyDescent="0.25">
      <c r="B206" s="30">
        <f t="shared" si="57"/>
        <v>22</v>
      </c>
      <c r="C206" s="34" t="s">
        <v>65</v>
      </c>
      <c r="D206" s="30"/>
      <c r="E206" s="30"/>
      <c r="F206" s="27">
        <f t="shared" si="62"/>
        <v>0</v>
      </c>
      <c r="G206" s="28" t="e">
        <f t="shared" ref="G206:G220" si="63">(F206/D206)</f>
        <v>#DIV/0!</v>
      </c>
    </row>
    <row r="207" spans="2:7" ht="27.95" customHeight="1" x14ac:dyDescent="0.25">
      <c r="B207" s="30">
        <f t="shared" si="57"/>
        <v>23</v>
      </c>
      <c r="C207" s="34" t="s">
        <v>66</v>
      </c>
      <c r="D207" s="30"/>
      <c r="E207" s="30"/>
      <c r="F207" s="27">
        <f t="shared" si="62"/>
        <v>0</v>
      </c>
      <c r="G207" s="28" t="e">
        <f t="shared" si="63"/>
        <v>#DIV/0!</v>
      </c>
    </row>
    <row r="208" spans="2:7" ht="27.95" customHeight="1" x14ac:dyDescent="0.25">
      <c r="B208" s="30">
        <f t="shared" si="57"/>
        <v>24</v>
      </c>
      <c r="C208" s="34" t="s">
        <v>69</v>
      </c>
      <c r="D208" s="30"/>
      <c r="E208" s="30"/>
      <c r="F208" s="27">
        <f t="shared" ref="F208:F213" si="64">E208-D208</f>
        <v>0</v>
      </c>
      <c r="G208" s="28" t="e">
        <f t="shared" si="63"/>
        <v>#DIV/0!</v>
      </c>
    </row>
    <row r="209" spans="2:7" ht="27.95" customHeight="1" x14ac:dyDescent="0.25">
      <c r="B209" s="30">
        <f t="shared" si="57"/>
        <v>25</v>
      </c>
      <c r="C209" s="34" t="s">
        <v>70</v>
      </c>
      <c r="D209" s="30"/>
      <c r="E209" s="30"/>
      <c r="F209" s="27">
        <f t="shared" si="64"/>
        <v>0</v>
      </c>
      <c r="G209" s="28" t="e">
        <f t="shared" si="63"/>
        <v>#DIV/0!</v>
      </c>
    </row>
    <row r="210" spans="2:7" ht="27.95" customHeight="1" x14ac:dyDescent="0.25">
      <c r="B210" s="30">
        <f t="shared" si="57"/>
        <v>26</v>
      </c>
      <c r="C210" s="34" t="s">
        <v>150</v>
      </c>
      <c r="D210" s="30"/>
      <c r="E210" s="30"/>
      <c r="F210" s="27">
        <f t="shared" si="64"/>
        <v>0</v>
      </c>
      <c r="G210" s="28" t="e">
        <f t="shared" si="63"/>
        <v>#DIV/0!</v>
      </c>
    </row>
    <row r="211" spans="2:7" ht="27.95" customHeight="1" x14ac:dyDescent="0.25">
      <c r="B211" s="30">
        <f t="shared" si="57"/>
        <v>27</v>
      </c>
      <c r="C211" s="34" t="s">
        <v>161</v>
      </c>
      <c r="D211" s="30"/>
      <c r="E211" s="30"/>
      <c r="F211" s="27">
        <f t="shared" si="64"/>
        <v>0</v>
      </c>
      <c r="G211" s="28" t="e">
        <f t="shared" si="63"/>
        <v>#DIV/0!</v>
      </c>
    </row>
    <row r="212" spans="2:7" ht="27.95" customHeight="1" x14ac:dyDescent="0.25">
      <c r="B212" s="30">
        <f t="shared" si="57"/>
        <v>28</v>
      </c>
      <c r="C212" s="34" t="s">
        <v>77</v>
      </c>
      <c r="D212" s="30"/>
      <c r="E212" s="30"/>
      <c r="F212" s="27">
        <f t="shared" si="64"/>
        <v>0</v>
      </c>
      <c r="G212" s="28" t="e">
        <f t="shared" si="63"/>
        <v>#DIV/0!</v>
      </c>
    </row>
    <row r="213" spans="2:7" ht="27.95" customHeight="1" x14ac:dyDescent="0.25">
      <c r="B213" s="30">
        <f t="shared" si="57"/>
        <v>29</v>
      </c>
      <c r="C213" s="34" t="s">
        <v>81</v>
      </c>
      <c r="D213" s="30"/>
      <c r="E213" s="30"/>
      <c r="F213" s="27">
        <f t="shared" si="64"/>
        <v>0</v>
      </c>
      <c r="G213" s="28" t="e">
        <f t="shared" si="63"/>
        <v>#DIV/0!</v>
      </c>
    </row>
    <row r="214" spans="2:7" ht="27.95" customHeight="1" x14ac:dyDescent="0.25">
      <c r="B214" s="30">
        <f t="shared" si="57"/>
        <v>30</v>
      </c>
      <c r="C214" s="34" t="s">
        <v>82</v>
      </c>
      <c r="D214" s="30"/>
      <c r="E214" s="30"/>
      <c r="F214" s="27">
        <f t="shared" ref="F214:F220" si="65">E214-D214</f>
        <v>0</v>
      </c>
      <c r="G214" s="28" t="e">
        <f t="shared" si="63"/>
        <v>#DIV/0!</v>
      </c>
    </row>
    <row r="215" spans="2:7" ht="27.95" customHeight="1" x14ac:dyDescent="0.25">
      <c r="B215" s="30">
        <f t="shared" si="57"/>
        <v>31</v>
      </c>
      <c r="C215" s="46" t="s">
        <v>126</v>
      </c>
      <c r="D215" s="30"/>
      <c r="E215" s="30"/>
      <c r="F215" s="27">
        <f t="shared" si="65"/>
        <v>0</v>
      </c>
      <c r="G215" s="28" t="e">
        <f t="shared" si="63"/>
        <v>#DIV/0!</v>
      </c>
    </row>
    <row r="216" spans="2:7" ht="27.95" customHeight="1" x14ac:dyDescent="0.25">
      <c r="B216" s="30" t="e">
        <f>#REF!+1</f>
        <v>#REF!</v>
      </c>
      <c r="C216" s="46" t="s">
        <v>127</v>
      </c>
      <c r="D216" s="30"/>
      <c r="E216" s="30"/>
      <c r="F216" s="27">
        <f t="shared" si="65"/>
        <v>0</v>
      </c>
      <c r="G216" s="28" t="e">
        <f t="shared" si="63"/>
        <v>#DIV/0!</v>
      </c>
    </row>
    <row r="217" spans="2:7" ht="27.95" customHeight="1" x14ac:dyDescent="0.25">
      <c r="B217" s="30" t="e">
        <f>#REF!+1</f>
        <v>#REF!</v>
      </c>
      <c r="C217" s="46" t="s">
        <v>128</v>
      </c>
      <c r="D217" s="30"/>
      <c r="E217" s="30"/>
      <c r="F217" s="27">
        <f t="shared" si="65"/>
        <v>0</v>
      </c>
      <c r="G217" s="28" t="e">
        <f t="shared" si="63"/>
        <v>#DIV/0!</v>
      </c>
    </row>
    <row r="218" spans="2:7" ht="27.95" customHeight="1" x14ac:dyDescent="0.25">
      <c r="B218" s="30" t="e">
        <f t="shared" si="57"/>
        <v>#REF!</v>
      </c>
      <c r="C218" s="46" t="s">
        <v>129</v>
      </c>
      <c r="D218" s="30"/>
      <c r="E218" s="30"/>
      <c r="F218" s="27">
        <f t="shared" si="65"/>
        <v>0</v>
      </c>
      <c r="G218" s="28" t="e">
        <f t="shared" si="63"/>
        <v>#DIV/0!</v>
      </c>
    </row>
    <row r="219" spans="2:7" ht="27.95" customHeight="1" x14ac:dyDescent="0.25">
      <c r="B219" s="30" t="e">
        <f t="shared" si="57"/>
        <v>#REF!</v>
      </c>
      <c r="C219" s="46" t="s">
        <v>130</v>
      </c>
      <c r="D219" s="30"/>
      <c r="E219" s="30"/>
      <c r="F219" s="27">
        <f t="shared" si="65"/>
        <v>0</v>
      </c>
      <c r="G219" s="28" t="e">
        <f t="shared" si="63"/>
        <v>#DIV/0!</v>
      </c>
    </row>
    <row r="220" spans="2:7" ht="27.95" customHeight="1" x14ac:dyDescent="0.25">
      <c r="B220" s="30" t="e">
        <f t="shared" si="57"/>
        <v>#REF!</v>
      </c>
      <c r="C220" s="46" t="s">
        <v>131</v>
      </c>
      <c r="D220" s="30"/>
      <c r="E220" s="30"/>
      <c r="F220" s="27">
        <f t="shared" si="65"/>
        <v>0</v>
      </c>
      <c r="G220" s="28" t="e">
        <f t="shared" si="63"/>
        <v>#DIV/0!</v>
      </c>
    </row>
    <row r="221" spans="2:7" s="15" customFormat="1" ht="27.95" customHeight="1" x14ac:dyDescent="0.25">
      <c r="B221" s="19"/>
    </row>
    <row r="222" spans="2:7" s="15" customFormat="1" ht="27.95" customHeight="1" x14ac:dyDescent="0.25">
      <c r="B222" s="19"/>
    </row>
    <row r="223" spans="2:7" s="15" customFormat="1" ht="27.95" customHeight="1" x14ac:dyDescent="0.25">
      <c r="B223" s="19"/>
    </row>
  </sheetData>
  <mergeCells count="24">
    <mergeCell ref="B181:G181"/>
    <mergeCell ref="B182:G182"/>
    <mergeCell ref="B22:G22"/>
    <mergeCell ref="B21:G21"/>
    <mergeCell ref="B174:G174"/>
    <mergeCell ref="B175:G175"/>
    <mergeCell ref="B116:G116"/>
    <mergeCell ref="B117:G117"/>
    <mergeCell ref="B127:G127"/>
    <mergeCell ref="B128:G128"/>
    <mergeCell ref="B71:G71"/>
    <mergeCell ref="B88:G88"/>
    <mergeCell ref="B89:G89"/>
    <mergeCell ref="B104:G104"/>
    <mergeCell ref="B2:G2"/>
    <mergeCell ref="B3:G3"/>
    <mergeCell ref="B105:G105"/>
    <mergeCell ref="B28:G28"/>
    <mergeCell ref="B27:G27"/>
    <mergeCell ref="B48:G48"/>
    <mergeCell ref="B49:G49"/>
    <mergeCell ref="B70:G70"/>
    <mergeCell ref="B11:G11"/>
    <mergeCell ref="B12:G12"/>
  </mergeCells>
  <conditionalFormatting sqref="F182">
    <cfRule type="cellIs" dxfId="1" priority="1" operator="lessThan">
      <formula>0</formula>
    </cfRule>
  </conditionalFormatting>
  <conditionalFormatting sqref="G182">
    <cfRule type="cellIs" dxfId="0" priority="2" operator="lessThan">
      <formula>0</formula>
    </cfRule>
  </conditionalFormatting>
  <pageMargins left="0.5" right="0.5" top="0.5" bottom="0.5" header="0.5" footer="0.5"/>
  <pageSetup orientation="portrait" horizontalDpi="1200" verticalDpi="1200" r:id="rId1"/>
  <ignoredErrors>
    <ignoredError sqref="C2:M2 H3:M3 H17:M17 F10:M10 F6:M7 F19:G19 H11:M15 F15:G15 F17:G18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G337"/>
  <sheetViews>
    <sheetView rightToLeft="1" workbookViewId="0">
      <selection activeCell="C337" sqref="C337"/>
    </sheetView>
  </sheetViews>
  <sheetFormatPr defaultRowHeight="15.75" x14ac:dyDescent="0.25"/>
  <cols>
    <col min="2" max="2" width="1.875" bestFit="1" customWidth="1"/>
    <col min="3" max="3" width="37.625" customWidth="1"/>
    <col min="4" max="5" width="5.875" bestFit="1" customWidth="1"/>
    <col min="6" max="6" width="5.625" bestFit="1" customWidth="1"/>
    <col min="7" max="7" width="20.625" customWidth="1"/>
  </cols>
  <sheetData>
    <row r="4" spans="2:7" ht="27" customHeight="1" x14ac:dyDescent="0.25">
      <c r="B4" s="60" t="s">
        <v>0</v>
      </c>
      <c r="C4" s="61"/>
      <c r="D4" s="61"/>
      <c r="E4" s="61"/>
      <c r="F4" s="61"/>
      <c r="G4" s="61"/>
    </row>
    <row r="5" spans="2:7" ht="27" customHeight="1" x14ac:dyDescent="0.25">
      <c r="B5" s="61" t="s">
        <v>4</v>
      </c>
      <c r="C5" s="61"/>
      <c r="D5" s="61"/>
      <c r="E5" s="61"/>
      <c r="F5" s="61"/>
      <c r="G5" s="61"/>
    </row>
    <row r="6" spans="2:7" ht="27" customHeight="1" x14ac:dyDescent="0.25">
      <c r="B6" s="1"/>
      <c r="C6" s="10" t="s">
        <v>8</v>
      </c>
      <c r="D6" s="1" t="s">
        <v>5</v>
      </c>
      <c r="E6" s="1" t="s">
        <v>7</v>
      </c>
      <c r="F6" s="1" t="s">
        <v>1</v>
      </c>
      <c r="G6" s="1" t="s">
        <v>2</v>
      </c>
    </row>
    <row r="7" spans="2:7" ht="27" customHeight="1" x14ac:dyDescent="0.25">
      <c r="B7" s="5"/>
      <c r="C7" s="10" t="s">
        <v>16</v>
      </c>
      <c r="D7" s="2"/>
      <c r="E7" s="2"/>
      <c r="F7" s="3">
        <f t="shared" ref="F7:F11" si="0">E7-D7</f>
        <v>0</v>
      </c>
      <c r="G7" s="4" t="e">
        <f t="shared" ref="G7:G11" si="1">(F7/D7)</f>
        <v>#DIV/0!</v>
      </c>
    </row>
    <row r="8" spans="2:7" ht="27" customHeight="1" x14ac:dyDescent="0.25">
      <c r="B8" s="6">
        <v>1</v>
      </c>
      <c r="C8" s="10" t="s">
        <v>9</v>
      </c>
      <c r="D8" s="7"/>
      <c r="E8" s="7"/>
      <c r="F8" s="3">
        <f t="shared" si="0"/>
        <v>0</v>
      </c>
      <c r="G8" s="4" t="e">
        <f t="shared" si="1"/>
        <v>#DIV/0!</v>
      </c>
    </row>
    <row r="9" spans="2:7" ht="27" customHeight="1" x14ac:dyDescent="0.25">
      <c r="B9" s="6">
        <v>2</v>
      </c>
      <c r="C9" s="10" t="s">
        <v>10</v>
      </c>
      <c r="D9" s="7"/>
      <c r="E9" s="7"/>
      <c r="F9" s="3">
        <f t="shared" si="0"/>
        <v>0</v>
      </c>
      <c r="G9" s="4" t="e">
        <f t="shared" si="1"/>
        <v>#DIV/0!</v>
      </c>
    </row>
    <row r="10" spans="2:7" ht="27" customHeight="1" x14ac:dyDescent="0.25">
      <c r="B10" s="6">
        <v>3</v>
      </c>
      <c r="C10" s="8" t="s">
        <v>11</v>
      </c>
      <c r="D10" s="7"/>
      <c r="E10" s="7"/>
      <c r="F10" s="3">
        <f t="shared" si="0"/>
        <v>0</v>
      </c>
      <c r="G10" s="4" t="e">
        <f t="shared" si="1"/>
        <v>#DIV/0!</v>
      </c>
    </row>
    <row r="11" spans="2:7" ht="27" customHeight="1" x14ac:dyDescent="0.25">
      <c r="B11" s="6">
        <v>6</v>
      </c>
      <c r="C11" s="8" t="s">
        <v>12</v>
      </c>
      <c r="D11" s="7"/>
      <c r="E11" s="7"/>
      <c r="F11" s="3">
        <f t="shared" si="0"/>
        <v>0</v>
      </c>
      <c r="G11" s="4" t="e">
        <f t="shared" si="1"/>
        <v>#DIV/0!</v>
      </c>
    </row>
    <row r="12" spans="2:7" ht="18.75" x14ac:dyDescent="0.25">
      <c r="C12" s="9" t="s">
        <v>13</v>
      </c>
    </row>
    <row r="13" spans="2:7" ht="18.75" x14ac:dyDescent="0.25">
      <c r="C13" s="9" t="s">
        <v>14</v>
      </c>
    </row>
    <row r="14" spans="2:7" ht="18.75" x14ac:dyDescent="0.25">
      <c r="C14" s="9" t="s">
        <v>15</v>
      </c>
    </row>
    <row r="15" spans="2:7" ht="18.75" x14ac:dyDescent="0.25">
      <c r="C15" s="10" t="s">
        <v>17</v>
      </c>
    </row>
    <row r="16" spans="2:7" ht="18.75" x14ac:dyDescent="0.25">
      <c r="C16" s="10" t="s">
        <v>18</v>
      </c>
    </row>
    <row r="17" spans="3:3" ht="18.75" x14ac:dyDescent="0.25">
      <c r="C17" s="10" t="s">
        <v>10</v>
      </c>
    </row>
    <row r="18" spans="3:3" ht="18.75" x14ac:dyDescent="0.25">
      <c r="C18" s="10" t="s">
        <v>12</v>
      </c>
    </row>
    <row r="19" spans="3:3" ht="18.75" x14ac:dyDescent="0.25">
      <c r="C19" s="10" t="s">
        <v>12</v>
      </c>
    </row>
    <row r="20" spans="3:3" ht="18.75" x14ac:dyDescent="0.25">
      <c r="C20" s="10" t="s">
        <v>19</v>
      </c>
    </row>
    <row r="332" spans="3:3" x14ac:dyDescent="0.25">
      <c r="C332" s="12" t="s">
        <v>20</v>
      </c>
    </row>
    <row r="333" spans="3:3" x14ac:dyDescent="0.25">
      <c r="C333" s="13" t="s">
        <v>25</v>
      </c>
    </row>
    <row r="334" spans="3:3" x14ac:dyDescent="0.25">
      <c r="C334" s="13" t="s">
        <v>21</v>
      </c>
    </row>
    <row r="335" spans="3:3" x14ac:dyDescent="0.25">
      <c r="C335" s="14" t="s">
        <v>22</v>
      </c>
    </row>
    <row r="336" spans="3:3" x14ac:dyDescent="0.25">
      <c r="C336" s="13" t="s">
        <v>23</v>
      </c>
    </row>
    <row r="337" spans="3:3" x14ac:dyDescent="0.25">
      <c r="C337" s="14" t="s">
        <v>24</v>
      </c>
    </row>
  </sheetData>
  <mergeCells count="2">
    <mergeCell ref="B4:G4"/>
    <mergeCell ref="B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محمد پناهی</dc:creator>
  <cp:lastModifiedBy>DG TECH</cp:lastModifiedBy>
  <cp:lastPrinted>2021-04-18T09:04:59Z</cp:lastPrinted>
  <dcterms:created xsi:type="dcterms:W3CDTF">2020-11-29T12:12:29Z</dcterms:created>
  <dcterms:modified xsi:type="dcterms:W3CDTF">2026-02-07T09:47:03Z</dcterms:modified>
</cp:coreProperties>
</file>